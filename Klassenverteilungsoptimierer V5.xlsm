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https://d.docs.live.net/4cfeafcae5aef467/Schuldatensensibel/Neuklassen5/"/>
    </mc:Choice>
  </mc:AlternateContent>
  <xr:revisionPtr revIDLastSave="0" documentId="8_{F0868679-FB6B-42A2-96FC-80D521579D2D}" xr6:coauthVersionLast="47" xr6:coauthVersionMax="47" xr10:uidLastSave="{00000000-0000-0000-0000-000000000000}"/>
  <bookViews>
    <workbookView xWindow="222" yWindow="84" windowWidth="18000" windowHeight="11442" tabRatio="848" activeTab="5" xr2:uid="{00000000-000D-0000-FFFF-FFFF00000000}"/>
  </bookViews>
  <sheets>
    <sheet name="alle" sheetId="23" r:id="rId1"/>
    <sheet name="Suchtiefe" sheetId="29" r:id="rId2"/>
    <sheet name="Analyse" sheetId="26" r:id="rId3"/>
    <sheet name="Konflikte" sheetId="28" r:id="rId4"/>
    <sheet name="Wunschfehler" sheetId="27" r:id="rId5"/>
    <sheet name="MinMaxCluster_V2" sheetId="32" r:id="rId6"/>
  </sheets>
  <functionGroups builtInGroupCount="19"/>
  <externalReferences>
    <externalReference r:id="rId7"/>
  </externalReferences>
  <definedNames>
    <definedName name="_xlnm.Print_Titles" localSheetId="0">alle!$A:$B,alle!$2:$3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5" i="23" l="1"/>
  <c r="A124" i="23"/>
  <c r="A123" i="23"/>
  <c r="A122" i="23"/>
  <c r="AY121" i="23"/>
  <c r="A121" i="23"/>
  <c r="AY120" i="23"/>
  <c r="A120" i="23"/>
  <c r="A119" i="23"/>
  <c r="A118" i="23"/>
  <c r="A117" i="23"/>
  <c r="AY116" i="23"/>
  <c r="A116" i="23"/>
  <c r="AY115" i="23"/>
  <c r="A115" i="23"/>
  <c r="A114" i="23"/>
  <c r="A113" i="23"/>
  <c r="A112" i="23"/>
  <c r="A110" i="23"/>
  <c r="AY109" i="23"/>
  <c r="A109" i="23"/>
  <c r="AY26" i="23"/>
  <c r="A26" i="23"/>
  <c r="A4" i="23"/>
  <c r="AY12" i="23"/>
  <c r="A12" i="23"/>
  <c r="A88" i="23"/>
  <c r="A58" i="23"/>
  <c r="A54" i="23"/>
  <c r="A19" i="23"/>
  <c r="A55" i="23"/>
  <c r="AY39" i="23"/>
  <c r="A39" i="23"/>
  <c r="A108" i="23"/>
  <c r="A30" i="23"/>
  <c r="A56" i="23"/>
  <c r="A68" i="23"/>
  <c r="A32" i="23"/>
  <c r="A64" i="23"/>
  <c r="A83" i="23"/>
  <c r="A16" i="23"/>
  <c r="A86" i="23"/>
  <c r="AY53" i="23"/>
  <c r="A53" i="23"/>
  <c r="AY35" i="23"/>
  <c r="A35" i="23"/>
  <c r="AY10" i="23"/>
  <c r="A10" i="23"/>
  <c r="A59" i="23"/>
  <c r="AY22" i="23"/>
  <c r="A22" i="23"/>
  <c r="A71" i="23"/>
  <c r="A18" i="23"/>
  <c r="A65" i="23"/>
  <c r="AY77" i="23"/>
  <c r="A77" i="23"/>
  <c r="A75" i="23"/>
  <c r="A29" i="23"/>
  <c r="A34" i="23"/>
  <c r="A38" i="23"/>
  <c r="A45" i="23"/>
  <c r="AY90" i="23"/>
  <c r="A90" i="23"/>
  <c r="A37" i="23"/>
  <c r="AY21" i="23"/>
  <c r="A21" i="23"/>
  <c r="AY17" i="23"/>
  <c r="A17" i="23"/>
  <c r="A9" i="23"/>
  <c r="A93" i="23"/>
  <c r="AY67" i="23"/>
  <c r="A67" i="23"/>
  <c r="A85" i="23"/>
  <c r="A62" i="23"/>
  <c r="A25" i="23"/>
  <c r="A15" i="23"/>
  <c r="A36" i="23"/>
  <c r="A66" i="23"/>
  <c r="AY100" i="23"/>
  <c r="A100" i="23"/>
  <c r="A76" i="23"/>
  <c r="A74" i="23"/>
  <c r="AY20" i="23"/>
  <c r="A20" i="23"/>
  <c r="AY61" i="23"/>
  <c r="A61" i="23"/>
  <c r="A73" i="23"/>
  <c r="A99" i="23"/>
  <c r="A92" i="23"/>
  <c r="A106" i="23"/>
  <c r="AY84" i="23"/>
  <c r="A84" i="23"/>
  <c r="AY81" i="23"/>
  <c r="A81" i="23"/>
  <c r="A8" i="23"/>
  <c r="A5" i="23"/>
  <c r="A49" i="23"/>
  <c r="A50" i="23"/>
  <c r="AY14" i="23"/>
  <c r="A14" i="23"/>
  <c r="AY70" i="23"/>
  <c r="A70" i="23"/>
  <c r="A43" i="23"/>
  <c r="A69" i="23"/>
  <c r="AY98" i="23"/>
  <c r="A98" i="23"/>
  <c r="AY97" i="23"/>
  <c r="A97" i="23"/>
  <c r="A48" i="23"/>
  <c r="A31" i="23"/>
  <c r="AY47" i="23"/>
  <c r="A47" i="23"/>
  <c r="AY87" i="23"/>
  <c r="A87" i="23"/>
  <c r="A23" i="23"/>
  <c r="A46" i="23"/>
  <c r="A96" i="23"/>
  <c r="A107" i="23"/>
  <c r="AY79" i="23"/>
  <c r="A79" i="23"/>
  <c r="A41" i="23"/>
  <c r="A27" i="23"/>
  <c r="A89" i="23"/>
  <c r="AY44" i="23"/>
  <c r="A44" i="23"/>
  <c r="A94" i="23"/>
  <c r="AY24" i="23"/>
  <c r="A24" i="23"/>
  <c r="A13" i="23"/>
  <c r="AY33" i="23"/>
  <c r="A33" i="23"/>
  <c r="A103" i="23"/>
  <c r="AY11" i="23"/>
  <c r="A11" i="23"/>
  <c r="AY57" i="23"/>
  <c r="A57" i="23"/>
  <c r="AY82" i="23"/>
  <c r="A82" i="23"/>
  <c r="A102" i="23"/>
  <c r="A60" i="23"/>
  <c r="AY95" i="23"/>
  <c r="A95" i="23"/>
  <c r="AY104" i="23"/>
  <c r="A104" i="23"/>
  <c r="AY91" i="23"/>
  <c r="A91" i="23"/>
  <c r="AY80" i="23"/>
  <c r="A80" i="23"/>
  <c r="AY40" i="23"/>
  <c r="A40" i="23"/>
  <c r="A72" i="23"/>
  <c r="A63" i="23"/>
  <c r="A28" i="23"/>
  <c r="A101" i="23"/>
  <c r="AY42" i="23"/>
  <c r="A42" i="23"/>
  <c r="AY78" i="23"/>
  <c r="A78" i="23"/>
  <c r="A52" i="23"/>
  <c r="A7" i="23"/>
  <c r="A6" i="23"/>
  <c r="A51" i="23"/>
  <c r="AY105" i="23"/>
  <c r="A105" i="23"/>
  <c r="A196" i="23"/>
  <c r="A195" i="23"/>
  <c r="A194" i="23"/>
  <c r="A193" i="23"/>
  <c r="R1" i="23"/>
  <c r="Q1" i="23"/>
  <c r="P1" i="23"/>
  <c r="O1" i="23"/>
  <c r="N1" i="23"/>
  <c r="M1" i="23"/>
</calcChain>
</file>

<file path=xl/sharedStrings.xml><?xml version="1.0" encoding="utf-8"?>
<sst xmlns="http://schemas.openxmlformats.org/spreadsheetml/2006/main" count="3261" uniqueCount="774">
  <si>
    <t>Eignung</t>
  </si>
  <si>
    <t>Name</t>
  </si>
  <si>
    <t>Vorname</t>
  </si>
  <si>
    <t>m</t>
  </si>
  <si>
    <t>w</t>
  </si>
  <si>
    <t>Gy</t>
  </si>
  <si>
    <t>RS</t>
  </si>
  <si>
    <t>Wohnort</t>
  </si>
  <si>
    <t>Möchte gerne zusammen mit</t>
  </si>
  <si>
    <t>Eindruck</t>
  </si>
  <si>
    <t>HS</t>
  </si>
  <si>
    <t>A</t>
  </si>
  <si>
    <t>Bemerkungen</t>
  </si>
  <si>
    <t>RS/Gy</t>
  </si>
  <si>
    <t>PLZ</t>
  </si>
  <si>
    <t>x</t>
  </si>
  <si>
    <t>Besser nicht zusammen mit</t>
  </si>
  <si>
    <t>ED1</t>
  </si>
  <si>
    <t>ED2</t>
  </si>
  <si>
    <t>ED3</t>
  </si>
  <si>
    <t>ED4</t>
  </si>
  <si>
    <t>ED5</t>
  </si>
  <si>
    <t>ED6</t>
  </si>
  <si>
    <t>ED7</t>
  </si>
  <si>
    <t>ED8</t>
  </si>
  <si>
    <t>ED9</t>
  </si>
  <si>
    <t>ED10</t>
  </si>
  <si>
    <t>ED11</t>
  </si>
  <si>
    <t>ED12</t>
  </si>
  <si>
    <t>ED13</t>
  </si>
  <si>
    <t>ED14</t>
  </si>
  <si>
    <t>ED15</t>
  </si>
  <si>
    <t>ED16</t>
  </si>
  <si>
    <t>ED17</t>
  </si>
  <si>
    <t>ED18</t>
  </si>
  <si>
    <t>ED19</t>
  </si>
  <si>
    <t>ED20</t>
  </si>
  <si>
    <t>ED21</t>
  </si>
  <si>
    <t>ED22</t>
  </si>
  <si>
    <t>ED23</t>
  </si>
  <si>
    <t>ED24</t>
  </si>
  <si>
    <t>ED25</t>
  </si>
  <si>
    <t>ED26</t>
  </si>
  <si>
    <t>ED27</t>
  </si>
  <si>
    <t>ED28</t>
  </si>
  <si>
    <t>ED29</t>
  </si>
  <si>
    <t>ED30</t>
  </si>
  <si>
    <t>ED31</t>
  </si>
  <si>
    <t>ED32</t>
  </si>
  <si>
    <t>ED33</t>
  </si>
  <si>
    <t>ED34</t>
  </si>
  <si>
    <t>ED35</t>
  </si>
  <si>
    <t>ED36</t>
  </si>
  <si>
    <t>ED37</t>
  </si>
  <si>
    <t>ED38</t>
  </si>
  <si>
    <t>ED39</t>
  </si>
  <si>
    <t>ED40</t>
  </si>
  <si>
    <t>ED41</t>
  </si>
  <si>
    <t>ED42</t>
  </si>
  <si>
    <t>ED43</t>
  </si>
  <si>
    <t>ED44</t>
  </si>
  <si>
    <t>ED45</t>
  </si>
  <si>
    <t>ED46</t>
  </si>
  <si>
    <t>ED47</t>
  </si>
  <si>
    <t>ED48</t>
  </si>
  <si>
    <t>ED49</t>
  </si>
  <si>
    <t>ED50</t>
  </si>
  <si>
    <t>ED51</t>
  </si>
  <si>
    <t>ED52</t>
  </si>
  <si>
    <t>ED53</t>
  </si>
  <si>
    <t>ED54</t>
  </si>
  <si>
    <t>ED55</t>
  </si>
  <si>
    <t>ED56</t>
  </si>
  <si>
    <t>ED57</t>
  </si>
  <si>
    <t>ED58</t>
  </si>
  <si>
    <t>ED59</t>
  </si>
  <si>
    <t>ED60</t>
  </si>
  <si>
    <t>ED61</t>
  </si>
  <si>
    <t>ED62</t>
  </si>
  <si>
    <t>ED63</t>
  </si>
  <si>
    <t>ED64</t>
  </si>
  <si>
    <t>ED65</t>
  </si>
  <si>
    <t>ED66</t>
  </si>
  <si>
    <t>ED67</t>
  </si>
  <si>
    <t>ED68</t>
  </si>
  <si>
    <t>ED69</t>
  </si>
  <si>
    <t>ED70</t>
  </si>
  <si>
    <t>ED71</t>
  </si>
  <si>
    <t>ED72</t>
  </si>
  <si>
    <t>ED73</t>
  </si>
  <si>
    <t>ED74</t>
  </si>
  <si>
    <t>ED75</t>
  </si>
  <si>
    <t>ED76</t>
  </si>
  <si>
    <t>ED77</t>
  </si>
  <si>
    <t>ED78</t>
  </si>
  <si>
    <t>Klassenlehrer</t>
  </si>
  <si>
    <t>rot</t>
  </si>
  <si>
    <t>Klasse</t>
  </si>
  <si>
    <t>Grund-
schule</t>
  </si>
  <si>
    <t>Wahl KR/
ER/PP</t>
  </si>
  <si>
    <t>Masern-Impf-
schutz</t>
  </si>
  <si>
    <t>sonstige GS</t>
  </si>
  <si>
    <t>4a</t>
  </si>
  <si>
    <t>PP</t>
  </si>
  <si>
    <t>ja</t>
  </si>
  <si>
    <t>4d</t>
  </si>
  <si>
    <t>4b</t>
  </si>
  <si>
    <t>ER</t>
  </si>
  <si>
    <t>KR</t>
  </si>
  <si>
    <t>Bg</t>
  </si>
  <si>
    <t>Beg.</t>
  </si>
  <si>
    <t>4c</t>
  </si>
  <si>
    <t>Lov.</t>
  </si>
  <si>
    <t>Schwimm-fähigkeit</t>
  </si>
  <si>
    <t xml:space="preserve"> nein</t>
  </si>
  <si>
    <t>nein</t>
  </si>
  <si>
    <t>SchulNR</t>
  </si>
  <si>
    <t>4A</t>
  </si>
  <si>
    <t>Beggen.</t>
  </si>
  <si>
    <t>4B</t>
  </si>
  <si>
    <t>Geburstdatum</t>
  </si>
  <si>
    <t/>
  </si>
  <si>
    <t>./.</t>
  </si>
  <si>
    <t>Diabetes, Allergien, ADS, LRS</t>
  </si>
  <si>
    <t>ADS (Medikamente)</t>
  </si>
  <si>
    <t>Asthma, Allergie</t>
  </si>
  <si>
    <t>Bikuspide Aortenklappe</t>
  </si>
  <si>
    <t>Asthma</t>
  </si>
  <si>
    <t>Allergien</t>
  </si>
  <si>
    <t>Allergie</t>
  </si>
  <si>
    <t>Asthma, Allergien</t>
  </si>
  <si>
    <t>ADHS (Medikation)</t>
  </si>
  <si>
    <t>siehe Bemerkungen</t>
  </si>
  <si>
    <t>Migräne</t>
  </si>
  <si>
    <t>Kommentar möchte mit</t>
  </si>
  <si>
    <t>Kommentar besser nicht</t>
  </si>
  <si>
    <t>L1</t>
  </si>
  <si>
    <t>L2</t>
  </si>
  <si>
    <t>L3</t>
  </si>
  <si>
    <t>L4</t>
  </si>
  <si>
    <t>L5</t>
  </si>
  <si>
    <t>5a</t>
  </si>
  <si>
    <t>5c</t>
  </si>
  <si>
    <t>5d</t>
  </si>
  <si>
    <t>5b</t>
  </si>
  <si>
    <t>Lösung</t>
  </si>
  <si>
    <t>Größe</t>
  </si>
  <si>
    <t>Rot</t>
  </si>
  <si>
    <t>farbe</t>
  </si>
  <si>
    <t>Konflikte</t>
  </si>
  <si>
    <t>Zeile in 'alle'</t>
  </si>
  <si>
    <t>Wunsch</t>
  </si>
  <si>
    <t>Zeile 1</t>
  </si>
  <si>
    <t>Name 1</t>
  </si>
  <si>
    <t>Zeile 2</t>
  </si>
  <si>
    <t>Name 2</t>
  </si>
  <si>
    <t>Anzahl der Iterationen</t>
  </si>
  <si>
    <t>Anzahl lokale tauschversuche</t>
  </si>
  <si>
    <t>Wunschfehler</t>
  </si>
  <si>
    <t>Kriterium</t>
  </si>
  <si>
    <t>Punkte</t>
  </si>
  <si>
    <t>Konflikt</t>
  </si>
  <si>
    <t>Wunsch nicht erfüllt</t>
  </si>
  <si>
    <t>Klassengröße</t>
  </si>
  <si>
    <t>Geschlecht</t>
  </si>
  <si>
    <t>Gewichtung</t>
  </si>
  <si>
    <t>Fix</t>
  </si>
  <si>
    <t>Lehrergruppe   z.B. 200</t>
  </si>
  <si>
    <t>Max Lehrergruppe</t>
  </si>
  <si>
    <t>Klassenanzahl</t>
  </si>
  <si>
    <t>Cluster</t>
  </si>
  <si>
    <t>Schüler</t>
  </si>
  <si>
    <t>ignore</t>
  </si>
  <si>
    <t>i</t>
  </si>
  <si>
    <t>Anzahl Fixierung Wunschketten</t>
  </si>
  <si>
    <t>Es werden nur Wunschketten ohne Konflikte fixiert</t>
  </si>
  <si>
    <t>Anzahl Neustarts pro Iteration</t>
  </si>
  <si>
    <t>Name1</t>
  </si>
  <si>
    <t>Vorname1</t>
  </si>
  <si>
    <t>Name2</t>
  </si>
  <si>
    <t>Vorname2</t>
  </si>
  <si>
    <t>Name3</t>
  </si>
  <si>
    <t>Name4</t>
  </si>
  <si>
    <t>Name5</t>
  </si>
  <si>
    <t>Name6</t>
  </si>
  <si>
    <t>Name7</t>
  </si>
  <si>
    <t>Name8</t>
  </si>
  <si>
    <t>Name9</t>
  </si>
  <si>
    <t>Name10</t>
  </si>
  <si>
    <t>Name11</t>
  </si>
  <si>
    <t>Name12</t>
  </si>
  <si>
    <t>Name13</t>
  </si>
  <si>
    <t>Name14</t>
  </si>
  <si>
    <t>Name15</t>
  </si>
  <si>
    <t>Name16</t>
  </si>
  <si>
    <t>Name17</t>
  </si>
  <si>
    <t>Name18</t>
  </si>
  <si>
    <t>Name19</t>
  </si>
  <si>
    <t>Name20</t>
  </si>
  <si>
    <t>Name21</t>
  </si>
  <si>
    <t>Name22</t>
  </si>
  <si>
    <t>Name23</t>
  </si>
  <si>
    <t>Name24</t>
  </si>
  <si>
    <t>Name25</t>
  </si>
  <si>
    <t>Name26</t>
  </si>
  <si>
    <t>Name27</t>
  </si>
  <si>
    <t>Name28</t>
  </si>
  <si>
    <t>Name29</t>
  </si>
  <si>
    <t>Name30</t>
  </si>
  <si>
    <t>Name31</t>
  </si>
  <si>
    <t>Name32</t>
  </si>
  <si>
    <t>Name33</t>
  </si>
  <si>
    <t>Name34</t>
  </si>
  <si>
    <t>Name35</t>
  </si>
  <si>
    <t>Name36</t>
  </si>
  <si>
    <t>Name37</t>
  </si>
  <si>
    <t>Name38</t>
  </si>
  <si>
    <t>Name39</t>
  </si>
  <si>
    <t>Name40</t>
  </si>
  <si>
    <t>Name41</t>
  </si>
  <si>
    <t>Name42</t>
  </si>
  <si>
    <t>Name43</t>
  </si>
  <si>
    <t>Name44</t>
  </si>
  <si>
    <t>Name45</t>
  </si>
  <si>
    <t>Name46</t>
  </si>
  <si>
    <t>Name47</t>
  </si>
  <si>
    <t>Name48</t>
  </si>
  <si>
    <t>Name49</t>
  </si>
  <si>
    <t>Name50</t>
  </si>
  <si>
    <t>Name51</t>
  </si>
  <si>
    <t>Name52</t>
  </si>
  <si>
    <t>Name53</t>
  </si>
  <si>
    <t>Name54</t>
  </si>
  <si>
    <t>Name55</t>
  </si>
  <si>
    <t>Name56</t>
  </si>
  <si>
    <t>Name57</t>
  </si>
  <si>
    <t>Name58</t>
  </si>
  <si>
    <t>Name59</t>
  </si>
  <si>
    <t>Name60</t>
  </si>
  <si>
    <t>Name61</t>
  </si>
  <si>
    <t>Name62</t>
  </si>
  <si>
    <t>Name63</t>
  </si>
  <si>
    <t>Name64</t>
  </si>
  <si>
    <t>Name65</t>
  </si>
  <si>
    <t>Name66</t>
  </si>
  <si>
    <t>Name67</t>
  </si>
  <si>
    <t>Name68</t>
  </si>
  <si>
    <t>Name69</t>
  </si>
  <si>
    <t>Name70</t>
  </si>
  <si>
    <t>Name71</t>
  </si>
  <si>
    <t>Name72</t>
  </si>
  <si>
    <t>Name73</t>
  </si>
  <si>
    <t>Name74</t>
  </si>
  <si>
    <t>Name75</t>
  </si>
  <si>
    <t>Name76</t>
  </si>
  <si>
    <t>Name77</t>
  </si>
  <si>
    <t>Name78</t>
  </si>
  <si>
    <t>Name79</t>
  </si>
  <si>
    <t>Name80</t>
  </si>
  <si>
    <t>Name81</t>
  </si>
  <si>
    <t>Name82</t>
  </si>
  <si>
    <t>Name83</t>
  </si>
  <si>
    <t>Name84</t>
  </si>
  <si>
    <t>Name85</t>
  </si>
  <si>
    <t>Name86</t>
  </si>
  <si>
    <t>Name87</t>
  </si>
  <si>
    <t>Name88</t>
  </si>
  <si>
    <t>Name89</t>
  </si>
  <si>
    <t>Name90</t>
  </si>
  <si>
    <t>Name91</t>
  </si>
  <si>
    <t>Name92</t>
  </si>
  <si>
    <t>Name93</t>
  </si>
  <si>
    <t>Name94</t>
  </si>
  <si>
    <t>Name95</t>
  </si>
  <si>
    <t>Name96</t>
  </si>
  <si>
    <t>Name97</t>
  </si>
  <si>
    <t>Name98</t>
  </si>
  <si>
    <t>Name99</t>
  </si>
  <si>
    <t>Name100</t>
  </si>
  <si>
    <t>Name101</t>
  </si>
  <si>
    <t>Name102</t>
  </si>
  <si>
    <t>Name103</t>
  </si>
  <si>
    <t>Name104</t>
  </si>
  <si>
    <t>Name105</t>
  </si>
  <si>
    <t>Name106</t>
  </si>
  <si>
    <t>Name107</t>
  </si>
  <si>
    <t>Name108</t>
  </si>
  <si>
    <t>Name109</t>
  </si>
  <si>
    <t>Name110</t>
  </si>
  <si>
    <t>Name111</t>
  </si>
  <si>
    <t>Name112</t>
  </si>
  <si>
    <t>Name113</t>
  </si>
  <si>
    <t>Name114</t>
  </si>
  <si>
    <t>Name115</t>
  </si>
  <si>
    <t>Name116</t>
  </si>
  <si>
    <t>Name117</t>
  </si>
  <si>
    <t>Name118</t>
  </si>
  <si>
    <t>Name119</t>
  </si>
  <si>
    <t>Name120</t>
  </si>
  <si>
    <t>Name121</t>
  </si>
  <si>
    <t>Name122</t>
  </si>
  <si>
    <t>Vorname3</t>
  </si>
  <si>
    <t>Vorname4</t>
  </si>
  <si>
    <t>Vorname5</t>
  </si>
  <si>
    <t>Vorname6</t>
  </si>
  <si>
    <t>Vorname7</t>
  </si>
  <si>
    <t>Vorname8</t>
  </si>
  <si>
    <t>Vorname9</t>
  </si>
  <si>
    <t>Vorname10</t>
  </si>
  <si>
    <t>Vorname11</t>
  </si>
  <si>
    <t>Vorname12</t>
  </si>
  <si>
    <t>Vorname13</t>
  </si>
  <si>
    <t>Vorname14</t>
  </si>
  <si>
    <t>Vorname15</t>
  </si>
  <si>
    <t>Vorname16</t>
  </si>
  <si>
    <t>Vorname17</t>
  </si>
  <si>
    <t>Vorname18</t>
  </si>
  <si>
    <t>Vorname19</t>
  </si>
  <si>
    <t>Vorname20</t>
  </si>
  <si>
    <t>Vorname21</t>
  </si>
  <si>
    <t>Vorname22</t>
  </si>
  <si>
    <t>Vorname23</t>
  </si>
  <si>
    <t>Vorname24</t>
  </si>
  <si>
    <t>Vorname25</t>
  </si>
  <si>
    <t>Vorname26</t>
  </si>
  <si>
    <t>Vorname27</t>
  </si>
  <si>
    <t>Vorname28</t>
  </si>
  <si>
    <t>Vorname29</t>
  </si>
  <si>
    <t>Vorname30</t>
  </si>
  <si>
    <t>Vorname31</t>
  </si>
  <si>
    <t>Vorname32</t>
  </si>
  <si>
    <t>Vorname33</t>
  </si>
  <si>
    <t>Vorname34</t>
  </si>
  <si>
    <t>Vorname35</t>
  </si>
  <si>
    <t>Vorname36</t>
  </si>
  <si>
    <t>Vorname37</t>
  </si>
  <si>
    <t>Vorname38</t>
  </si>
  <si>
    <t>Vorname39</t>
  </si>
  <si>
    <t>Vorname40</t>
  </si>
  <si>
    <t>Vorname41</t>
  </si>
  <si>
    <t>Vorname42</t>
  </si>
  <si>
    <t>Vorname43</t>
  </si>
  <si>
    <t>Vorname44</t>
  </si>
  <si>
    <t>Vorname45</t>
  </si>
  <si>
    <t>Vorname46</t>
  </si>
  <si>
    <t>Vorname47</t>
  </si>
  <si>
    <t>Vorname48</t>
  </si>
  <si>
    <t>Vorname49</t>
  </si>
  <si>
    <t>Vorname50</t>
  </si>
  <si>
    <t>Vorname51</t>
  </si>
  <si>
    <t>Vorname52</t>
  </si>
  <si>
    <t>Vorname53</t>
  </si>
  <si>
    <t>Vorname54</t>
  </si>
  <si>
    <t>Vorname55</t>
  </si>
  <si>
    <t>Vorname56</t>
  </si>
  <si>
    <t>Vorname57</t>
  </si>
  <si>
    <t>Vorname58</t>
  </si>
  <si>
    <t>Vorname59</t>
  </si>
  <si>
    <t>Vorname60</t>
  </si>
  <si>
    <t>Vorname61</t>
  </si>
  <si>
    <t>Vorname62</t>
  </si>
  <si>
    <t>Vorname63</t>
  </si>
  <si>
    <t>Vorname64</t>
  </si>
  <si>
    <t>Vorname65</t>
  </si>
  <si>
    <t>Vorname66</t>
  </si>
  <si>
    <t>Vorname67</t>
  </si>
  <si>
    <t>Vorname68</t>
  </si>
  <si>
    <t>Vorname69</t>
  </si>
  <si>
    <t>Vorname70</t>
  </si>
  <si>
    <t>Vorname71</t>
  </si>
  <si>
    <t>Vorname72</t>
  </si>
  <si>
    <t>Vorname73</t>
  </si>
  <si>
    <t>Vorname74</t>
  </si>
  <si>
    <t>Vorname75</t>
  </si>
  <si>
    <t>Vorname76</t>
  </si>
  <si>
    <t>Vorname77</t>
  </si>
  <si>
    <t>Vorname78</t>
  </si>
  <si>
    <t>Vorname79</t>
  </si>
  <si>
    <t>Vorname80</t>
  </si>
  <si>
    <t>Vorname81</t>
  </si>
  <si>
    <t>Vorname82</t>
  </si>
  <si>
    <t>Vorname83</t>
  </si>
  <si>
    <t>Vorname84</t>
  </si>
  <si>
    <t>Vorname85</t>
  </si>
  <si>
    <t>Vorname86</t>
  </si>
  <si>
    <t>Vorname87</t>
  </si>
  <si>
    <t>Vorname88</t>
  </si>
  <si>
    <t>Vorname89</t>
  </si>
  <si>
    <t>Vorname90</t>
  </si>
  <si>
    <t>Vorname91</t>
  </si>
  <si>
    <t>Vorname92</t>
  </si>
  <si>
    <t>Vorname93</t>
  </si>
  <si>
    <t>Vorname94</t>
  </si>
  <si>
    <t>Vorname95</t>
  </si>
  <si>
    <t>Vorname96</t>
  </si>
  <si>
    <t>Vorname97</t>
  </si>
  <si>
    <t>Vorname98</t>
  </si>
  <si>
    <t>Vorname99</t>
  </si>
  <si>
    <t>Vorname100</t>
  </si>
  <si>
    <t>Vorname101</t>
  </si>
  <si>
    <t>Vorname102</t>
  </si>
  <si>
    <t>Vorname103</t>
  </si>
  <si>
    <t>Vorname104</t>
  </si>
  <si>
    <t>Vorname105</t>
  </si>
  <si>
    <t>Vorname106</t>
  </si>
  <si>
    <t>Vorname107</t>
  </si>
  <si>
    <t>Vorname108</t>
  </si>
  <si>
    <t>Vorname109</t>
  </si>
  <si>
    <t>Vorname110</t>
  </si>
  <si>
    <t>Vorname111</t>
  </si>
  <si>
    <t>Vorname112</t>
  </si>
  <si>
    <t>Vorname113</t>
  </si>
  <si>
    <t>Vorname114</t>
  </si>
  <si>
    <t>Vorname115</t>
  </si>
  <si>
    <t>Vorname116</t>
  </si>
  <si>
    <t>Vorname117</t>
  </si>
  <si>
    <t>Vorname118</t>
  </si>
  <si>
    <t>Vorname119</t>
  </si>
  <si>
    <t>Vorname120</t>
  </si>
  <si>
    <t>Vorname121</t>
  </si>
  <si>
    <t>Vorname122</t>
  </si>
  <si>
    <t>maximal 7</t>
  </si>
  <si>
    <t>ED79</t>
  </si>
  <si>
    <t>ED80</t>
  </si>
  <si>
    <t>ED81</t>
  </si>
  <si>
    <t>ED82</t>
  </si>
  <si>
    <t>ED83</t>
  </si>
  <si>
    <t>ED84</t>
  </si>
  <si>
    <t>ED85</t>
  </si>
  <si>
    <t>ED86</t>
  </si>
  <si>
    <t>ED87</t>
  </si>
  <si>
    <t>ED88</t>
  </si>
  <si>
    <t>ED89</t>
  </si>
  <si>
    <t>ED90</t>
  </si>
  <si>
    <t>ED91</t>
  </si>
  <si>
    <t>ED92</t>
  </si>
  <si>
    <t>ED93</t>
  </si>
  <si>
    <t>ED94</t>
  </si>
  <si>
    <t>ED95</t>
  </si>
  <si>
    <t>ED96</t>
  </si>
  <si>
    <t>ED97</t>
  </si>
  <si>
    <t>ED98</t>
  </si>
  <si>
    <t>ED99</t>
  </si>
  <si>
    <t>ED100</t>
  </si>
  <si>
    <t>ED101</t>
  </si>
  <si>
    <t>ED102</t>
  </si>
  <si>
    <t>ED103</t>
  </si>
  <si>
    <t>ED104</t>
  </si>
  <si>
    <t>ED105</t>
  </si>
  <si>
    <t>ED106</t>
  </si>
  <si>
    <t>ED107</t>
  </si>
  <si>
    <t>ED108</t>
  </si>
  <si>
    <t>ED109</t>
  </si>
  <si>
    <t>ED110</t>
  </si>
  <si>
    <t>ED111</t>
  </si>
  <si>
    <t>ED112</t>
  </si>
  <si>
    <t>ED113</t>
  </si>
  <si>
    <t>ED114</t>
  </si>
  <si>
    <t>ED115</t>
  </si>
  <si>
    <t>ED116</t>
  </si>
  <si>
    <t>ED117</t>
  </si>
  <si>
    <t>ED118</t>
  </si>
  <si>
    <t>ED119</t>
  </si>
  <si>
    <t>ED120</t>
  </si>
  <si>
    <t>ED121</t>
  </si>
  <si>
    <t>ED122</t>
  </si>
  <si>
    <t>Notiz 1</t>
  </si>
  <si>
    <t>Notiz 2</t>
  </si>
  <si>
    <t>Notiz 3</t>
  </si>
  <si>
    <t>Notiz 4</t>
  </si>
  <si>
    <t>Notiz 5</t>
  </si>
  <si>
    <t>Notiz 6</t>
  </si>
  <si>
    <t>Notiz 7</t>
  </si>
  <si>
    <t>Notiz 8</t>
  </si>
  <si>
    <t>Notiz 9</t>
  </si>
  <si>
    <t>Notiz 10</t>
  </si>
  <si>
    <t>Notiz 11</t>
  </si>
  <si>
    <t>Notiz 12</t>
  </si>
  <si>
    <t>Notiz 13</t>
  </si>
  <si>
    <t>Notiz 14</t>
  </si>
  <si>
    <t>Notiz 15</t>
  </si>
  <si>
    <t>Notiz 16</t>
  </si>
  <si>
    <t>Notiz 17</t>
  </si>
  <si>
    <t>Notiz 18</t>
  </si>
  <si>
    <t>Notiz 19</t>
  </si>
  <si>
    <t>Notiz 20</t>
  </si>
  <si>
    <t>Notiz 21</t>
  </si>
  <si>
    <t>Notiz 22</t>
  </si>
  <si>
    <t>Notiz 23</t>
  </si>
  <si>
    <t>Notiz 24</t>
  </si>
  <si>
    <t>Notiz 25</t>
  </si>
  <si>
    <t>Notiz 26</t>
  </si>
  <si>
    <t>Notiz 27</t>
  </si>
  <si>
    <t>Notiz 28</t>
  </si>
  <si>
    <t>Notiz 29</t>
  </si>
  <si>
    <t>Notiz 30</t>
  </si>
  <si>
    <t>Notiz 31</t>
  </si>
  <si>
    <t>Notiz 32</t>
  </si>
  <si>
    <t>Notiz 33</t>
  </si>
  <si>
    <t>Notiz 34</t>
  </si>
  <si>
    <t>Notiz 35</t>
  </si>
  <si>
    <t>Notiz 36</t>
  </si>
  <si>
    <t>Notiz 37</t>
  </si>
  <si>
    <t>Notiz 38</t>
  </si>
  <si>
    <t>Notiz 39</t>
  </si>
  <si>
    <t>Notiz 40</t>
  </si>
  <si>
    <t>Notiz 41</t>
  </si>
  <si>
    <t>Notiz 42</t>
  </si>
  <si>
    <t>Notiz 43</t>
  </si>
  <si>
    <t>Notiz 44</t>
  </si>
  <si>
    <t>Notiz 45</t>
  </si>
  <si>
    <t>Notiz 46</t>
  </si>
  <si>
    <t>Notiz 47</t>
  </si>
  <si>
    <t>Notiz 48</t>
  </si>
  <si>
    <t>Notiz 49</t>
  </si>
  <si>
    <t>Notiz 50</t>
  </si>
  <si>
    <t>Notiz 51</t>
  </si>
  <si>
    <t>Notiz 52</t>
  </si>
  <si>
    <t>Notiz 53</t>
  </si>
  <si>
    <t>Notiz 54</t>
  </si>
  <si>
    <t>Notiz 55</t>
  </si>
  <si>
    <t>Notiz 56</t>
  </si>
  <si>
    <t>Notiz 57</t>
  </si>
  <si>
    <t>Notiz 58</t>
  </si>
  <si>
    <t>Notiz 59</t>
  </si>
  <si>
    <t>Notiz 60</t>
  </si>
  <si>
    <t>Notiz 61</t>
  </si>
  <si>
    <t>Notiz 62</t>
  </si>
  <si>
    <t>Notiz 63</t>
  </si>
  <si>
    <t>Notiz 64</t>
  </si>
  <si>
    <t>Notiz 65</t>
  </si>
  <si>
    <t>Notiz 66</t>
  </si>
  <si>
    <t>Notiz 67</t>
  </si>
  <si>
    <t>Notiz 68</t>
  </si>
  <si>
    <t>Notiz 69</t>
  </si>
  <si>
    <t>Notiz 70</t>
  </si>
  <si>
    <t>Notiz 71</t>
  </si>
  <si>
    <t>Notiz 72</t>
  </si>
  <si>
    <t>Notiz 73</t>
  </si>
  <si>
    <t>Notiz 74</t>
  </si>
  <si>
    <t>Notiz 75</t>
  </si>
  <si>
    <t>Notiz 76</t>
  </si>
  <si>
    <t>Notiz 77</t>
  </si>
  <si>
    <t>Notiz 78</t>
  </si>
  <si>
    <t>Notiz 79</t>
  </si>
  <si>
    <t>Notiz 80</t>
  </si>
  <si>
    <t>Notiz 81</t>
  </si>
  <si>
    <t>Notiz 82</t>
  </si>
  <si>
    <t>Notiz 83</t>
  </si>
  <si>
    <t>Notiz 84</t>
  </si>
  <si>
    <t>Notiz 85</t>
  </si>
  <si>
    <t>Notiz 86</t>
  </si>
  <si>
    <t>Notiz 87</t>
  </si>
  <si>
    <t>Notiz 88</t>
  </si>
  <si>
    <t>Notiz 89</t>
  </si>
  <si>
    <t>Notiz 90</t>
  </si>
  <si>
    <t>Notiz 91</t>
  </si>
  <si>
    <t>Notiz 92</t>
  </si>
  <si>
    <t>Notiz 93</t>
  </si>
  <si>
    <t>Notiz 94</t>
  </si>
  <si>
    <t>Notiz 95</t>
  </si>
  <si>
    <t>Notiz 96</t>
  </si>
  <si>
    <t>Notiz 97</t>
  </si>
  <si>
    <t>Notiz 98</t>
  </si>
  <si>
    <t>Notiz 99</t>
  </si>
  <si>
    <t>Notiz 100</t>
  </si>
  <si>
    <t>Notiz 101</t>
  </si>
  <si>
    <t>Notiz 102</t>
  </si>
  <si>
    <t>Notiz 103</t>
  </si>
  <si>
    <t>Notiz 104</t>
  </si>
  <si>
    <t>Notiz 105</t>
  </si>
  <si>
    <t>Notiz 106</t>
  </si>
  <si>
    <t>Notiz 107</t>
  </si>
  <si>
    <t>Notiz 108</t>
  </si>
  <si>
    <t>Notiz 109</t>
  </si>
  <si>
    <t>Notiz 110</t>
  </si>
  <si>
    <t>Notiz 111</t>
  </si>
  <si>
    <t>Notiz 112</t>
  </si>
  <si>
    <t>Notiz 113</t>
  </si>
  <si>
    <t>Notiz 114</t>
  </si>
  <si>
    <t>Notiz 115</t>
  </si>
  <si>
    <t>Notiz 116</t>
  </si>
  <si>
    <t>Notiz 117</t>
  </si>
  <si>
    <t>Notiz 118</t>
  </si>
  <si>
    <t>Notiz 119</t>
  </si>
  <si>
    <t>Notiz 120</t>
  </si>
  <si>
    <t>Notiz 121</t>
  </si>
  <si>
    <t>Notiz 122</t>
  </si>
  <si>
    <t xml:space="preserve">Notiz1 </t>
  </si>
  <si>
    <t>Name123</t>
  </si>
  <si>
    <t>Vorname123</t>
  </si>
  <si>
    <t>Name124</t>
  </si>
  <si>
    <t>Vorname124</t>
  </si>
  <si>
    <t>Name125</t>
  </si>
  <si>
    <t>Vorname125</t>
  </si>
  <si>
    <t>Name126</t>
  </si>
  <si>
    <t>Vorname126</t>
  </si>
  <si>
    <t>Name127</t>
  </si>
  <si>
    <t>Vorname127</t>
  </si>
  <si>
    <t>Name7 Vorname7, Name8 Vorname8, Name9 Vorname9, Name30 Vorname30, Name31 Vorname31, Name32 Vorname32, Name53 Vorname53, Name54 Vorname54, Name55 Vorname55, Name76 Vorname76, Name77 Vorname77, Name78 Vorname78, Name99 Vorname99, Name100 Vorname100, Name101 Vorname101, Name122 Vorname122</t>
  </si>
  <si>
    <t>Name2 Vorname2, Name25 Vorname25, Name48 Vorname48, Name71 Vorname71, Name94 Vorname94, Name117 Vorname117</t>
  </si>
  <si>
    <t>Name3 Vorname3, Name26 Vorname26, Name49 Vorname49, Name72 Vorname72, Name95 Vorname95, Name118 Vorname118</t>
  </si>
  <si>
    <t>Name4 Vorname4, Name27 Vorname27, Name50 Vorname50, Name73 Vorname73, Name96 Vorname96, Name119 Vorname119</t>
  </si>
  <si>
    <t>Name5 Vorname5, Name28 Vorname28, Name51 Vorname51, Name74 Vorname74, Name97 Vorname97, Name120 Vorname120</t>
  </si>
  <si>
    <t>Name6 Vorname6, Name29 Vorname29, Name52 Vorname52, Name75 Vorname75, Name98 Vorname98, Name121 Vorname121</t>
  </si>
  <si>
    <t>Name1 Vorname1, Name24 Vorname24, Name47 Vorname47, Name70 Vorname70, Name93 Vorname93, Name116 Vorname116</t>
  </si>
  <si>
    <t>Name10 Vorname10, Name33 Vorname33, Name56 Vorname56, Name79 Vorname79, Name102 Vorname102</t>
  </si>
  <si>
    <t>Name11 Vorname11, Name34 Vorname34, Name57 Vorname57, Name80 Vorname80, Name103 Vorname103</t>
  </si>
  <si>
    <t>Name12 Vorname12, Name35 Vorname35, Name58 Vorname58, Name81 Vorname81, Name104 Vorname104</t>
  </si>
  <si>
    <t>Name13 Vorname13, Name36 Vorname36, Name59 Vorname59, Name82 Vorname82, Name105 Vorname105</t>
  </si>
  <si>
    <t>Name14 Vorname14, Name37 Vorname37, Name60 Vorname60, Name83 Vorname83, Name106 Vorname106</t>
  </si>
  <si>
    <t>Name15 Vorname15, Name38 Vorname38, Name61 Vorname61, Name84 Vorname84, Name107 Vorname107</t>
  </si>
  <si>
    <t>Name16 Vorname16, Name39 Vorname39, Name62 Vorname62, Name85 Vorname85, Name108 Vorname108</t>
  </si>
  <si>
    <t>Name17 Vorname17, Name40 Vorname40, Name63 Vorname63, Name86 Vorname86, Name109 Vorname109</t>
  </si>
  <si>
    <t>Name18 Vorname18, Name41 Vorname41, Name64 Vorname64, Name87 Vorname87, Name110 Vorname110</t>
  </si>
  <si>
    <t>Name19 Vorname19, Name42 Vorname42, Name65 Vorname65, Name88 Vorname88, Name111 Vorname111</t>
  </si>
  <si>
    <t>Name20 Vorname20, Name43 Vorname43, Name66 Vorname66, Name89 Vorname89, Name112 Vorname112</t>
  </si>
  <si>
    <t>Name21 Vorname21, Name44 Vorname44, Name67 Vorname67, Name90 Vorname90, Name113 Vorname113</t>
  </si>
  <si>
    <t>Name22 Vorname22, Name45 Vorname45, Name68 Vorname68, Name91 Vorname91, Name114 Vorname114</t>
  </si>
  <si>
    <t>Name23 Vorname23, Name46 Vorname46, Name69 Vorname69, Name92 Vorname92, Name115 Vorname115</t>
  </si>
  <si>
    <t>Name100 Vorname100</t>
  </si>
  <si>
    <t>Name123 Vorname123|Name127 Vorname127</t>
  </si>
  <si>
    <t>Name101 Vorname101</t>
  </si>
  <si>
    <t>Name124 Vorname124</t>
  </si>
  <si>
    <t>OrtA</t>
  </si>
  <si>
    <t>OrtB</t>
  </si>
  <si>
    <t>Lehrer A</t>
  </si>
  <si>
    <t>Lehrer B</t>
  </si>
  <si>
    <t>Lehrer C</t>
  </si>
  <si>
    <t>Lehrer D</t>
  </si>
  <si>
    <t>Lehrer E</t>
  </si>
  <si>
    <t>Ort A</t>
  </si>
  <si>
    <t>Ort B</t>
  </si>
  <si>
    <t>Ort C</t>
  </si>
  <si>
    <t>Ort D</t>
  </si>
  <si>
    <t>G-Name 1</t>
  </si>
  <si>
    <t>G-Nam 2</t>
  </si>
  <si>
    <t>G-Nam 3</t>
  </si>
  <si>
    <t>G-Nam 4</t>
  </si>
  <si>
    <t>G-Nam 5</t>
  </si>
  <si>
    <t>G-Nam 6</t>
  </si>
  <si>
    <t>G-Nam 7</t>
  </si>
  <si>
    <t>G-Nam 8</t>
  </si>
  <si>
    <t>G-Nam 9</t>
  </si>
  <si>
    <t>G-Nam 10</t>
  </si>
  <si>
    <t>G-Nam 11</t>
  </si>
  <si>
    <t>Besonder-
heiten z.B. LRS, Dyskalkulie, 
ADHS, etc.</t>
  </si>
  <si>
    <t>Bem 1</t>
  </si>
  <si>
    <t>Bem 4</t>
  </si>
  <si>
    <t>Bem 11</t>
  </si>
  <si>
    <t>Bem 2</t>
  </si>
  <si>
    <t>Bem 3</t>
  </si>
  <si>
    <t>Bem 5</t>
  </si>
  <si>
    <t>Bem 6</t>
  </si>
  <si>
    <t>Bem 7</t>
  </si>
  <si>
    <t>Bem 8</t>
  </si>
  <si>
    <t>Bem 9</t>
  </si>
  <si>
    <t>Bem 10</t>
  </si>
  <si>
    <t>Bem 12</t>
  </si>
  <si>
    <t>Bem 13</t>
  </si>
  <si>
    <t>Bem 14</t>
  </si>
  <si>
    <t>Bem 15</t>
  </si>
  <si>
    <t>Bem 16</t>
  </si>
  <si>
    <t>Bem 17</t>
  </si>
  <si>
    <t>Bem 18</t>
  </si>
  <si>
    <t>Bem 19</t>
  </si>
  <si>
    <t>Bem 20</t>
  </si>
  <si>
    <t>Bem 21</t>
  </si>
  <si>
    <t>Bem 22</t>
  </si>
  <si>
    <t>Bem 23</t>
  </si>
  <si>
    <t>Bem 24</t>
  </si>
  <si>
    <t>Bem 25</t>
  </si>
  <si>
    <t>Bem 26</t>
  </si>
  <si>
    <t>Bem 27</t>
  </si>
  <si>
    <t>Bem 28</t>
  </si>
  <si>
    <t>Bem 29</t>
  </si>
  <si>
    <t>Bem 30</t>
  </si>
  <si>
    <t>Bem 31</t>
  </si>
  <si>
    <t>Bem 32</t>
  </si>
  <si>
    <t>Bem 33</t>
  </si>
  <si>
    <t>Bem 34</t>
  </si>
  <si>
    <t>Bem 35</t>
  </si>
  <si>
    <t>Bem 36</t>
  </si>
  <si>
    <t>Bem 37</t>
  </si>
  <si>
    <t>Bem 38</t>
  </si>
  <si>
    <t>Bem 39</t>
  </si>
  <si>
    <t>Bem 40</t>
  </si>
  <si>
    <t>Bem 41</t>
  </si>
  <si>
    <t>Bem 42</t>
  </si>
  <si>
    <t>Bem 43</t>
  </si>
  <si>
    <t>Bem 44</t>
  </si>
  <si>
    <t>Bem 45</t>
  </si>
  <si>
    <t>Bem 46</t>
  </si>
  <si>
    <t>Bem 47</t>
  </si>
  <si>
    <t>Bem 48</t>
  </si>
  <si>
    <t>Bem 49</t>
  </si>
  <si>
    <t>Bem 50</t>
  </si>
  <si>
    <t>Bem 51</t>
  </si>
  <si>
    <t>Bem 52</t>
  </si>
  <si>
    <t>Bem 53</t>
  </si>
  <si>
    <t>Bem 54</t>
  </si>
  <si>
    <t>Bem 55</t>
  </si>
  <si>
    <t>Bem 56</t>
  </si>
  <si>
    <t>Bem 57</t>
  </si>
  <si>
    <t>Bem 58</t>
  </si>
  <si>
    <t>Bem 59</t>
  </si>
  <si>
    <t>Bem 60</t>
  </si>
  <si>
    <t>Bem 61</t>
  </si>
  <si>
    <t>Bem 62</t>
  </si>
  <si>
    <t>Bem 63</t>
  </si>
  <si>
    <t>Bem 64</t>
  </si>
  <si>
    <t>Bem 65</t>
  </si>
  <si>
    <t>Bem 66</t>
  </si>
  <si>
    <t>Bem 67</t>
  </si>
  <si>
    <t>Bem 68</t>
  </si>
  <si>
    <t>Bem 69</t>
  </si>
  <si>
    <t>Bem 70</t>
  </si>
  <si>
    <t>Bem 71</t>
  </si>
  <si>
    <t>Bem 72</t>
  </si>
  <si>
    <t>Bem 73</t>
  </si>
  <si>
    <t>Bem 74</t>
  </si>
  <si>
    <t>Bem 75</t>
  </si>
  <si>
    <t>Bem 76</t>
  </si>
  <si>
    <t>Bem 77</t>
  </si>
  <si>
    <t>Bem 78</t>
  </si>
  <si>
    <t>Bem 79</t>
  </si>
  <si>
    <t>Bem 80</t>
  </si>
  <si>
    <t>Bem 81</t>
  </si>
  <si>
    <t>Bem 82</t>
  </si>
  <si>
    <t>Bem 83</t>
  </si>
  <si>
    <t>Bem 84</t>
  </si>
  <si>
    <t>Bem 85</t>
  </si>
  <si>
    <t>Bem 86</t>
  </si>
  <si>
    <t>Bem 87</t>
  </si>
  <si>
    <t>Bem 88</t>
  </si>
  <si>
    <t>Bem 89</t>
  </si>
  <si>
    <t>Bem 90</t>
  </si>
  <si>
    <t>Bem 91</t>
  </si>
  <si>
    <t>Bem 92</t>
  </si>
  <si>
    <t>Bem 93</t>
  </si>
  <si>
    <t>Bem 94</t>
  </si>
  <si>
    <t>Bem 95</t>
  </si>
  <si>
    <t>Bem 96</t>
  </si>
  <si>
    <t>Bem 97</t>
  </si>
  <si>
    <t>Bem 98</t>
  </si>
  <si>
    <t>Bem 99</t>
  </si>
  <si>
    <t>Bem 100</t>
  </si>
  <si>
    <t>Bem 101</t>
  </si>
  <si>
    <t>Bem 102</t>
  </si>
  <si>
    <t>Bem 103</t>
  </si>
  <si>
    <t>Bem 104</t>
  </si>
  <si>
    <t>Bem 105</t>
  </si>
  <si>
    <t>Bem 106</t>
  </si>
  <si>
    <t>Bem 107</t>
  </si>
  <si>
    <t>Bem 108</t>
  </si>
  <si>
    <t>Bem 109</t>
  </si>
  <si>
    <t>Bem 110</t>
  </si>
  <si>
    <t>Bem 111</t>
  </si>
  <si>
    <t>Bem 112</t>
  </si>
  <si>
    <t>Bem 113</t>
  </si>
  <si>
    <t>Bem 114</t>
  </si>
  <si>
    <t>Bem 115</t>
  </si>
  <si>
    <t>Bem 116</t>
  </si>
  <si>
    <t>Bem 117</t>
  </si>
  <si>
    <t>Bem 118</t>
  </si>
  <si>
    <t>Bem 119</t>
  </si>
  <si>
    <t>Bem 120</t>
  </si>
  <si>
    <t>Bem 121</t>
  </si>
  <si>
    <t>Bem 122</t>
  </si>
  <si>
    <t>Toleranzbereich Klassenstärke (leer=3)</t>
  </si>
  <si>
    <t>Name18 Vorname18</t>
  </si>
  <si>
    <t>Name41 Vorname41|Name45 Vorname45</t>
  </si>
  <si>
    <t>Name89 Vorname89</t>
  </si>
  <si>
    <t>Name112 Vorname112|Name116 Vorname116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</si>
</sst>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sz val="11"/>
      <name val="Calibri"/>
      <family val="2"/>
      <scheme val="minor"/>
    </font>
    <font>
      <sz val="11"/>
      <color rgb="FFFF0000"/>
      <name val="Calibri"/>
      <family val="2"/>
      <scheme val="minor"/>
    </font>
    <font>
      <sz val="16"/>
      <name val="Calibri"/>
      <family val="2"/>
      <scheme val="minor"/>
    </font>
    <font>
      <b/>
      <sz val="16"/>
      <color theme="1"/>
      <name val="Calibri"/>
      <family val="2"/>
      <scheme val="minor"/>
    </font>
    <font>
      <sz val="16"/>
      <color theme="1"/>
      <name val="Calibri"/>
      <family val="2"/>
      <scheme val="minor"/>
    </font>
    <font>
      <b/>
      <sz val="14"/>
      <color theme="1"/>
      <name val="Calibri"/>
      <family val="2"/>
      <scheme val="minor"/>
    </font>
    <font>
      <b/>
      <sz val="14"/>
      <name val="Calibri"/>
      <family val="2"/>
      <scheme val="minor"/>
    </font>
    <font>
      <b/>
      <sz val="14"/>
      <color rgb="FFFF0000"/>
      <name val="Calibri"/>
      <family val="2"/>
      <scheme val="minor"/>
    </font>
    <font>
      <b/>
      <sz val="11"/>
      <color rgb="FFFF0000"/>
      <name val="Calibri"/>
      <family val="2"/>
      <scheme val="minor"/>
    </font>
    <font>
      <b/>
      <sz val="11"/>
      <color rgb="FFC88650"/>
      <name val="Calibri"/>
      <family val="2"/>
      <scheme val="minor"/>
    </font>
    <font>
      <sz val="12"/>
      <color theme="1"/>
      <name val="Calibri"/>
      <family val="2"/>
      <scheme val="minor"/>
    </font>
    <font>
      <b/>
      <sz val="11"/>
      <color theme="1"/>
      <name val="Calibri"/>
      <family val="2"/>
      <scheme val="minor"/>
    </font>
    <font>
      <sz val="10"/>
      <color theme="1"/>
      <name val="Calibri"/>
      <family val="2"/>
      <scheme val="minor"/>
    </font>
    <font>
      <b/>
      <sz val="14"/>
      <name val="Arial"/>
      <family val="2"/>
    </font>
    <font>
      <sz val="12"/>
      <color theme="1"/>
      <name val="Antique Olive"/>
      <family val="2"/>
    </font>
    <font>
      <b/>
      <sz val="11"/>
      <name val="Calibri"/>
      <family val="2"/>
      <scheme val="minor"/>
    </font>
    <font>
      <sz val="8"/>
      <name val="Calibri"/>
      <family val="2"/>
      <scheme val="minor"/>
    </font>
    <font>
      <b/>
      <sz val="9"/>
      <name val="Arial"/>
      <family val="2"/>
    </font>
    <font>
      <b/>
      <sz val="9"/>
      <color theme="1"/>
      <name val="Calibri"/>
      <family val="2"/>
      <scheme val="minor"/>
    </font>
    <font>
      <sz val="9"/>
      <color theme="1"/>
      <name val="Calibri"/>
      <family val="2"/>
      <scheme val="minor"/>
    </font>
    <font>
      <sz val="9"/>
      <name val="Calibri"/>
      <family val="2"/>
      <scheme val="minor"/>
    </font>
    <font>
      <b/>
      <sz val="9"/>
      <name val="Calibri"/>
      <family val="2"/>
      <scheme val="minor"/>
    </font>
    <font>
      <sz val="9"/>
      <color rgb="FFFF0000"/>
      <name val="Calibri"/>
      <family val="2"/>
      <scheme val="minor"/>
    </font>
    <font>
      <sz val="14"/>
      <color theme="1"/>
      <name val="Calibri"/>
      <family val="2"/>
      <scheme val="minor"/>
    </font>
    <font>
      <b/>
      <sz val="24"/>
      <color theme="1"/>
      <name val="Calibri"/>
      <family val="2"/>
      <scheme val="minor"/>
    </font>
    <font>
      <sz val="16"/>
      <color rgb="FFFF0000"/>
      <name val="Calibri"/>
      <family val="2"/>
      <scheme val="minor"/>
    </font>
    <font>
      <sz val="11"/>
      <color rgb="FF000000"/>
      <name val="Calibri"/>
      <family val="2"/>
    </font>
  </fonts>
  <fills count="5">
    <fill>
      <patternFill patternType="none"/>
    </fill>
    <fill>
      <patternFill patternType="gray125"/>
    </fill>
    <fill>
      <patternFill patternType="solid">
        <fgColor rgb="FFFFFF00"/>
        <bgColor indexed="64"/>
      </patternFill>
    </fill>
    <fill>
      <patternFill patternType="solid">
        <fgColor theme="3" tint="0.59999389629810485"/>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2">
    <xf numFmtId="0" fontId="0" fillId="0" borderId="0" xfId="0"/>
    <xf numFmtId="0" fontId="6" fillId="3" borderId="1" xfId="0" applyFont="1" applyFill="1" applyBorder="1"/>
    <xf numFmtId="0" fontId="7" fillId="3" borderId="1" xfId="0" applyFont="1" applyFill="1" applyBorder="1" applyAlignment="1">
      <alignment horizontal="center"/>
    </xf>
    <xf numFmtId="0" fontId="6" fillId="3" borderId="1" xfId="0" applyFont="1" applyFill="1" applyBorder="1" applyAlignment="1">
      <alignment horizontal="center"/>
    </xf>
    <xf numFmtId="0" fontId="11" fillId="4" borderId="1" xfId="0" applyFont="1" applyFill="1" applyBorder="1" applyProtection="1">
      <protection locked="0"/>
    </xf>
    <xf numFmtId="0" fontId="11" fillId="4" borderId="1" xfId="0" applyFont="1" applyFill="1" applyBorder="1" applyAlignment="1" applyProtection="1">
      <alignment horizontal="center"/>
      <protection locked="0"/>
    </xf>
    <xf numFmtId="0" fontId="13" fillId="4" borderId="1" xfId="0" applyFont="1" applyFill="1" applyBorder="1" applyProtection="1">
      <protection locked="0"/>
    </xf>
    <xf numFmtId="0" fontId="20" fillId="4" borderId="1" xfId="0" applyFont="1" applyFill="1" applyBorder="1" applyProtection="1">
      <protection locked="0"/>
    </xf>
    <xf numFmtId="0" fontId="23" fillId="4" borderId="1" xfId="0" applyFont="1" applyFill="1" applyBorder="1" applyProtection="1">
      <protection locked="0"/>
    </xf>
    <xf numFmtId="0" fontId="20" fillId="4" borderId="1" xfId="0" applyFont="1" applyFill="1" applyBorder="1" applyAlignment="1" applyProtection="1">
      <alignment horizontal="center"/>
      <protection locked="0"/>
    </xf>
    <xf numFmtId="0" fontId="6" fillId="3" borderId="1" xfId="0" applyFont="1" applyFill="1" applyBorder="1" applyAlignment="1">
      <alignment horizontal="center" wrapText="1"/>
    </xf>
    <xf numFmtId="0" fontId="15" fillId="4" borderId="1" xfId="0" applyFont="1" applyFill="1" applyBorder="1" applyProtection="1">
      <protection locked="0"/>
    </xf>
    <xf numFmtId="0" fontId="0" fillId="0" borderId="1" xfId="0" applyBorder="1"/>
    <xf numFmtId="0" fontId="9" fillId="0" borderId="1" xfId="0" applyFont="1" applyBorder="1"/>
    <xf numFmtId="0" fontId="12" fillId="0" borderId="1" xfId="0" applyFont="1" applyBorder="1"/>
    <xf numFmtId="0" fontId="2" fillId="0" borderId="1" xfId="0" applyFont="1" applyBorder="1"/>
    <xf numFmtId="0" fontId="24" fillId="4" borderId="1" xfId="0" applyFont="1" applyFill="1" applyBorder="1" applyAlignment="1" applyProtection="1">
      <alignment horizontal="center"/>
      <protection locked="0"/>
    </xf>
    <xf numFmtId="0" fontId="25" fillId="0" borderId="0" xfId="0" applyFont="1" applyAlignment="1">
      <alignment vertical="center"/>
    </xf>
    <xf numFmtId="0" fontId="12" fillId="0" borderId="0" xfId="0" applyFont="1" applyAlignment="1">
      <alignment horizontal="center" vertical="center" wrapText="1"/>
    </xf>
    <xf numFmtId="0" fontId="0" fillId="0" borderId="0" xfId="0" applyAlignment="1">
      <alignment vertical="center" wrapText="1"/>
    </xf>
    <xf numFmtId="0" fontId="12" fillId="0" borderId="0" xfId="0" applyFont="1" applyAlignment="1">
      <alignment vertical="center" wrapText="1"/>
    </xf>
    <xf numFmtId="14" fontId="11" fillId="4" borderId="1" xfId="0" applyNumberFormat="1" applyFont="1" applyFill="1" applyBorder="1" applyAlignment="1" applyProtection="1">
      <alignment horizontal="center"/>
      <protection locked="0"/>
    </xf>
    <xf numFmtId="0" fontId="5" fillId="4" borderId="1" xfId="0" applyFont="1" applyFill="1" applyBorder="1" applyProtection="1">
      <protection locked="0"/>
    </xf>
    <xf numFmtId="0" fontId="26" fillId="4" borderId="1" xfId="0" applyFont="1" applyFill="1" applyBorder="1" applyAlignment="1" applyProtection="1">
      <alignment horizontal="center"/>
      <protection locked="0"/>
    </xf>
    <xf numFmtId="0" fontId="26" fillId="4" borderId="1" xfId="0" applyFont="1" applyFill="1" applyBorder="1" applyProtection="1">
      <protection locked="0"/>
    </xf>
    <xf numFmtId="0" fontId="5" fillId="4" borderId="1" xfId="0" applyFont="1" applyFill="1" applyBorder="1" applyAlignment="1" applyProtection="1">
      <alignment horizontal="center"/>
      <protection locked="0"/>
    </xf>
    <xf numFmtId="0" fontId="3" fillId="4" borderId="1" xfId="0" applyFont="1" applyFill="1" applyBorder="1" applyAlignment="1" applyProtection="1">
      <alignment horizontal="center"/>
      <protection locked="0"/>
    </xf>
    <xf numFmtId="0" fontId="3" fillId="4" borderId="1" xfId="0" applyFont="1" applyFill="1" applyBorder="1" applyProtection="1">
      <protection locked="0"/>
    </xf>
    <xf numFmtId="0" fontId="11" fillId="0" borderId="1" xfId="0" applyFont="1" applyBorder="1" applyProtection="1">
      <protection locked="0"/>
    </xf>
    <xf numFmtId="0" fontId="11" fillId="0" borderId="1" xfId="0" applyFont="1" applyBorder="1" applyAlignment="1" applyProtection="1">
      <alignment horizontal="left"/>
      <protection locked="0"/>
    </xf>
    <xf numFmtId="0" fontId="20" fillId="0" borderId="1" xfId="0" applyFont="1" applyBorder="1" applyProtection="1">
      <protection locked="0"/>
    </xf>
    <xf numFmtId="0" fontId="6" fillId="0" borderId="1" xfId="0" applyFont="1" applyBorder="1"/>
    <xf numFmtId="0" fontId="6" fillId="0" borderId="1" xfId="0" applyFont="1" applyBorder="1" applyAlignment="1">
      <alignment horizontal="left"/>
    </xf>
    <xf numFmtId="0" fontId="13" fillId="0" borderId="1" xfId="0" applyFont="1" applyBorder="1" applyProtection="1">
      <protection locked="0"/>
    </xf>
    <xf numFmtId="0" fontId="6" fillId="0" borderId="1" xfId="0" applyFont="1" applyBorder="1" applyAlignment="1">
      <alignment horizontal="center" wrapText="1"/>
    </xf>
    <xf numFmtId="0" fontId="11" fillId="0" borderId="1" xfId="0" applyFont="1" applyBorder="1" applyAlignment="1" applyProtection="1">
      <alignment horizontal="center"/>
      <protection locked="0"/>
    </xf>
    <xf numFmtId="49" fontId="18" fillId="0" borderId="1" xfId="0" applyNumberFormat="1" applyFont="1" applyBorder="1" applyAlignment="1">
      <alignment wrapText="1"/>
    </xf>
    <xf numFmtId="14" fontId="14" fillId="0" borderId="1" xfId="0" applyNumberFormat="1" applyFont="1" applyBorder="1" applyAlignment="1">
      <alignment horizontal="center"/>
    </xf>
    <xf numFmtId="49" fontId="20" fillId="0" borderId="1" xfId="0" applyNumberFormat="1" applyFont="1" applyBorder="1" applyAlignment="1">
      <alignment wrapText="1"/>
    </xf>
    <xf numFmtId="49" fontId="19" fillId="0" borderId="1" xfId="0" applyNumberFormat="1" applyFont="1" applyBorder="1" applyAlignment="1">
      <alignment horizontal="center" wrapText="1"/>
    </xf>
    <xf numFmtId="49" fontId="19" fillId="0" borderId="1" xfId="0" applyNumberFormat="1" applyFont="1" applyBorder="1" applyAlignment="1">
      <alignment wrapText="1"/>
    </xf>
    <xf numFmtId="49" fontId="18" fillId="0" borderId="1" xfId="0" applyNumberFormat="1" applyFont="1" applyBorder="1" applyAlignment="1">
      <alignment horizontal="left" wrapText="1"/>
    </xf>
    <xf numFmtId="0" fontId="0" fillId="0" borderId="1" xfId="0" applyBorder="1" applyAlignment="1">
      <alignment horizontal="center"/>
    </xf>
    <xf numFmtId="14" fontId="6" fillId="3" borderId="1" xfId="0" applyNumberFormat="1" applyFont="1" applyFill="1" applyBorder="1" applyAlignment="1">
      <alignment horizontal="center"/>
    </xf>
    <xf numFmtId="0" fontId="8" fillId="0" borderId="1" xfId="0" applyFont="1" applyBorder="1"/>
    <xf numFmtId="0" fontId="16" fillId="0" borderId="1" xfId="0" applyFont="1" applyBorder="1"/>
    <xf numFmtId="0" fontId="1" fillId="0" borderId="1" xfId="0" applyFont="1" applyBorder="1"/>
    <xf numFmtId="0" fontId="2" fillId="0" borderId="1" xfId="0" applyFont="1" applyBorder="1" applyAlignment="1">
      <alignment horizontal="center"/>
    </xf>
    <xf numFmtId="0" fontId="23" fillId="0" borderId="1" xfId="0" applyFont="1" applyBorder="1"/>
    <xf numFmtId="0" fontId="21" fillId="0" borderId="1" xfId="0" applyFont="1" applyBorder="1"/>
    <xf numFmtId="0" fontId="22" fillId="0" borderId="1" xfId="0" applyFont="1" applyBorder="1"/>
    <xf numFmtId="14" fontId="0" fillId="0" borderId="1" xfId="0" applyNumberFormat="1" applyBorder="1" applyAlignment="1">
      <alignment horizontal="center"/>
    </xf>
    <xf numFmtId="0" fontId="1" fillId="0" borderId="1" xfId="0" applyFont="1" applyBorder="1" applyAlignment="1">
      <alignment horizontal="center"/>
    </xf>
    <xf numFmtId="0" fontId="0" fillId="0" borderId="1" xfId="0" applyBorder="1" applyAlignment="1">
      <alignment horizontal="left"/>
    </xf>
    <xf numFmtId="49" fontId="3" fillId="2" borderId="1" xfId="0" applyNumberFormat="1" applyFont="1" applyFill="1" applyBorder="1" applyAlignment="1">
      <alignment horizontal="center" wrapText="1"/>
    </xf>
    <xf numFmtId="49" fontId="4" fillId="2" borderId="1" xfId="0" applyNumberFormat="1" applyFont="1" applyFill="1" applyBorder="1" applyAlignment="1">
      <alignment wrapText="1"/>
    </xf>
    <xf numFmtId="49" fontId="4" fillId="2" borderId="1" xfId="0" applyNumberFormat="1" applyFont="1" applyFill="1" applyBorder="1" applyAlignment="1">
      <alignment horizontal="center" wrapText="1"/>
    </xf>
    <xf numFmtId="49" fontId="4" fillId="2" borderId="1" xfId="0" applyNumberFormat="1" applyFont="1" applyFill="1" applyBorder="1" applyAlignment="1">
      <alignment horizontal="left" wrapText="1"/>
    </xf>
    <xf numFmtId="49" fontId="5" fillId="2" borderId="1" xfId="0" applyNumberFormat="1" applyFont="1" applyFill="1" applyBorder="1" applyAlignment="1">
      <alignment horizontal="center" wrapText="1"/>
    </xf>
    <xf numFmtId="49" fontId="5" fillId="2" borderId="1" xfId="0" applyNumberFormat="1" applyFont="1" applyFill="1" applyBorder="1" applyAlignment="1">
      <alignment wrapText="1"/>
    </xf>
    <xf numFmtId="49" fontId="4" fillId="0" borderId="1" xfId="0" applyNumberFormat="1" applyFont="1" applyBorder="1" applyAlignment="1">
      <alignment horizontal="left" wrapText="1"/>
    </xf>
    <xf numFmtId="49" fontId="4" fillId="0" borderId="1" xfId="0" applyNumberFormat="1" applyFont="1" applyBorder="1" applyAlignment="1">
      <alignment horizontal="center" wrapText="1"/>
    </xf>
    <xf numFmtId="49" fontId="10" fillId="0" borderId="1" xfId="0" applyNumberFormat="1" applyFont="1" applyBorder="1" applyAlignment="1">
      <alignment wrapText="1"/>
    </xf>
    <xf numFmtId="49" fontId="5" fillId="0" borderId="1" xfId="0" applyNumberFormat="1" applyFont="1" applyBorder="1" applyAlignment="1">
      <alignment wrapText="1"/>
    </xf>
    <xf numFmtId="0" fontId="0" fillId="0" borderId="0" xfId="0" applyAlignment="1">
      <alignment wrapText="1"/>
    </xf>
    <xf numFmtId="49" fontId="20" fillId="0" borderId="1" xfId="0" applyNumberFormat="1" applyFont="1" applyBorder="1" applyAlignment="1">
      <alignment horizontal="center" wrapText="1"/>
    </xf>
    <xf numFmtId="0" fontId="9" fillId="0" borderId="1" xfId="0" applyFont="1" applyBorder="1" applyAlignment="1">
      <alignment horizontal="center"/>
    </xf>
    <xf numFmtId="0" fontId="12" fillId="0" borderId="1" xfId="0" applyFont="1" applyBorder="1" applyAlignment="1">
      <alignment horizontal="center"/>
    </xf>
    <xf numFmtId="0" fontId="16" fillId="0" borderId="1" xfId="0" applyFont="1" applyBorder="1" applyAlignment="1">
      <alignment horizontal="center"/>
    </xf>
    <xf numFmtId="49" fontId="12" fillId="2" borderId="1" xfId="0" applyNumberFormat="1" applyFont="1" applyFill="1" applyBorder="1" applyAlignment="1">
      <alignment horizontal="center" wrapText="1"/>
    </xf>
    <xf numFmtId="49" fontId="18" fillId="0" borderId="1" xfId="0" applyNumberFormat="1" applyFont="1" applyBorder="1" applyAlignment="1">
      <alignment horizontal="center" wrapText="1"/>
    </xf>
    <xf numFmtId="49" fontId="4" fillId="2" borderId="1" xfId="0" applyNumberFormat="1" applyFont="1" applyFill="1" applyBorder="1" applyAlignment="1">
      <alignment horizontal="center" wrapText="1"/>
    </xf>
  </cellXfs>
  <cellStyles count="1">
    <cellStyle name="Standard" xfId="0" builtinId="0"/>
  </cellStyles>
  <dxfs count="0"/>
  <tableStyles count="0" defaultTableStyle="TableStyleMedium2" defaultPivotStyle="PivotStyleLight16"/>
  <colors>
    <mruColors>
      <color rgb="FFCCFF66"/>
      <color rgb="FFC88650"/>
      <color rgb="FFFF6600"/>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29</xdr:col>
          <xdr:colOff>3810</xdr:colOff>
          <xdr:row>0</xdr:row>
          <xdr:rowOff>49530</xdr:rowOff>
        </xdr:from>
        <xdr:to>
          <xdr:col>31</xdr:col>
          <xdr:colOff>1028700</xdr:colOff>
          <xdr:row>0</xdr:row>
          <xdr:rowOff>575310</xdr:rowOff>
        </xdr:to>
        <xdr:sp macro="" textlink="">
          <xdr:nvSpPr>
            <xdr:cNvPr id="3073" name="PruefeNamen"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de-DE" sz="1100" b="0" i="0" u="none" strike="noStrike" baseline="0">
                  <a:solidFill>
                    <a:srgbClr val="000000"/>
                  </a:solidFill>
                  <a:latin typeface="Calibri"/>
                  <a:ea typeface="Calibri"/>
                  <a:cs typeface="Calibri"/>
                </a:rPr>
                <a:t>Ungültige Namen prüfen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361950</xdr:colOff>
          <xdr:row>0</xdr:row>
          <xdr:rowOff>49530</xdr:rowOff>
        </xdr:from>
        <xdr:to>
          <xdr:col>10</xdr:col>
          <xdr:colOff>114300</xdr:colOff>
          <xdr:row>0</xdr:row>
          <xdr:rowOff>590550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de-DE" sz="1100" b="0" i="0" u="none" strike="noStrike" baseline="0">
                  <a:solidFill>
                    <a:srgbClr val="000000"/>
                  </a:solidFill>
                  <a:latin typeface="Calibri"/>
                  <a:ea typeface="Calibri"/>
                  <a:cs typeface="Calibri"/>
                </a:rPr>
                <a:t>Analyse und Konflikte </a:t>
              </a:r>
            </a:p>
            <a:p>
              <a:pPr algn="ctr" rtl="0">
                <a:defRPr sz="1000"/>
              </a:pPr>
              <a:endParaRPr lang="de-DE"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514350</xdr:colOff>
          <xdr:row>0</xdr:row>
          <xdr:rowOff>171450</xdr:rowOff>
        </xdr:from>
        <xdr:to>
          <xdr:col>6</xdr:col>
          <xdr:colOff>11430</xdr:colOff>
          <xdr:row>3</xdr:row>
          <xdr:rowOff>114300</xdr:rowOff>
        </xdr:to>
        <xdr:sp macro="" textlink="">
          <xdr:nvSpPr>
            <xdr:cNvPr id="2058" name="StartOptimierung"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de-DE" sz="1100" b="0" i="0" u="none" strike="noStrike" baseline="0">
                  <a:solidFill>
                    <a:srgbClr val="000000"/>
                  </a:solidFill>
                  <a:latin typeface="Calibri"/>
                  <a:ea typeface="Calibri"/>
                  <a:cs typeface="Calibri"/>
                </a:rPr>
                <a:t>Klassen optimieren starten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468630</xdr:colOff>
          <xdr:row>4</xdr:row>
          <xdr:rowOff>49530</xdr:rowOff>
        </xdr:from>
        <xdr:to>
          <xdr:col>5</xdr:col>
          <xdr:colOff>723900</xdr:colOff>
          <xdr:row>7</xdr:row>
          <xdr:rowOff>0</xdr:rowOff>
        </xdr:to>
        <xdr:sp macro="" textlink="">
          <xdr:nvSpPr>
            <xdr:cNvPr id="2059" name="PruefeNamen"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de-DE" sz="1100" b="0" i="0" u="none" strike="noStrike" baseline="0">
                  <a:solidFill>
                    <a:srgbClr val="000000"/>
                  </a:solidFill>
                  <a:latin typeface="Calibri"/>
                  <a:ea typeface="Calibri"/>
                  <a:cs typeface="Calibri"/>
                </a:rPr>
                <a:t>Ungültige Namen prüfen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457200</xdr:colOff>
          <xdr:row>8</xdr:row>
          <xdr:rowOff>87630</xdr:rowOff>
        </xdr:from>
        <xdr:to>
          <xdr:col>5</xdr:col>
          <xdr:colOff>716280</xdr:colOff>
          <xdr:row>11</xdr:row>
          <xdr:rowOff>30480</xdr:rowOff>
        </xdr:to>
        <xdr:sp macro="" textlink="">
          <xdr:nvSpPr>
            <xdr:cNvPr id="2060" name="FixiereCluster"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de-DE" sz="1100" b="0" i="0" u="none" strike="noStrike" baseline="0">
                  <a:solidFill>
                    <a:srgbClr val="000000"/>
                  </a:solidFill>
                  <a:latin typeface="Calibri"/>
                  <a:ea typeface="Calibri"/>
                  <a:cs typeface="Calibri"/>
                </a:rPr>
                <a:t>Die längsten Wunschketten fixieren</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87630</xdr:colOff>
          <xdr:row>1</xdr:row>
          <xdr:rowOff>49530</xdr:rowOff>
        </xdr:from>
        <xdr:to>
          <xdr:col>14</xdr:col>
          <xdr:colOff>754380</xdr:colOff>
          <xdr:row>4</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de-DE" sz="1100" b="0" i="0" u="none" strike="noStrike" baseline="0">
                  <a:solidFill>
                    <a:srgbClr val="000000"/>
                  </a:solidFill>
                  <a:latin typeface="Calibri"/>
                  <a:ea typeface="Calibri"/>
                  <a:cs typeface="Calibri"/>
                </a:rPr>
                <a:t>Analyse und Konflikte </a:t>
              </a:r>
            </a:p>
            <a:p>
              <a:pPr algn="ctr" rtl="0">
                <a:defRPr sz="1000"/>
              </a:pPr>
              <a:endParaRPr lang="de-DE"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User\OneDrive\Schuldatensensibel\Neuklassen5\0.0.Liste.NEUAnmeldung%20Klasse%205_202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ymnasialempfehlung"/>
      <sheetName val="andere Empfehlung"/>
      <sheetName val="erlaubte Werte"/>
      <sheetName val="Datenzusammenstellung Gym"/>
      <sheetName val="Datenzusammenstellung aE"/>
      <sheetName val="Schuelerbasisdaten.dat Gym"/>
      <sheetName val="Schuelerbasisdaten.dat aE"/>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tabColor rgb="FFC00000"/>
  </sheetPr>
  <dimension ref="A1:BA196"/>
  <sheetViews>
    <sheetView showWhiteSpace="0" topLeftCell="B140" zoomScale="82" zoomScaleNormal="82" zoomScaleSheetLayoutView="80" workbookViewId="0">
      <selection activeCell="O6" sqref="O6"/>
    </sheetView>
  </sheetViews>
  <sheetFormatPr baseColWidth="10" defaultColWidth="10.68359375" defaultRowHeight="14.4"/>
  <cols>
    <col min="1" max="1" width="6.578125" style="52" customWidth="1"/>
    <col min="2" max="2" width="11.15625" style="12" customWidth="1"/>
    <col min="3" max="3" width="12.68359375" style="12" customWidth="1"/>
    <col min="4" max="4" width="15.26171875" style="51" customWidth="1"/>
    <col min="5" max="5" width="6.15625" style="42" customWidth="1"/>
    <col min="6" max="6" width="6.15625" style="12" customWidth="1"/>
    <col min="7" max="13" width="6.26171875" style="42" customWidth="1"/>
    <col min="14" max="14" width="5.68359375" style="42" customWidth="1"/>
    <col min="15" max="15" width="6" style="42" customWidth="1"/>
    <col min="16" max="16" width="5.68359375" style="42" customWidth="1"/>
    <col min="17" max="17" width="6.15625" style="42" customWidth="1"/>
    <col min="18" max="18" width="6.26171875" style="12" customWidth="1"/>
    <col min="19" max="19" width="7.41796875" style="12" customWidth="1"/>
    <col min="20" max="20" width="44.68359375" style="12" customWidth="1"/>
    <col min="21" max="22" width="10.15625" style="12" customWidth="1"/>
    <col min="23" max="23" width="10" style="12" customWidth="1"/>
    <col min="24" max="24" width="10.15625" style="12" customWidth="1"/>
    <col min="25" max="25" width="39.26171875" style="12" customWidth="1"/>
    <col min="26" max="31" width="11.26171875" style="53" customWidth="1"/>
    <col min="32" max="32" width="20.68359375" style="12" bestFit="1" customWidth="1"/>
    <col min="33" max="33" width="9.68359375" style="42" bestFit="1" customWidth="1"/>
    <col min="34" max="34" width="8" style="42" bestFit="1" customWidth="1"/>
    <col min="35" max="35" width="11.15625" style="42" bestFit="1" customWidth="1"/>
    <col min="36" max="36" width="9.68359375" style="42" bestFit="1" customWidth="1"/>
    <col min="37" max="37" width="10.15625" style="42" bestFit="1" customWidth="1"/>
    <col min="38" max="38" width="11.41796875" style="42" bestFit="1" customWidth="1"/>
    <col min="39" max="39" width="11.41796875" style="42" customWidth="1"/>
    <col min="40" max="40" width="7.578125" style="42" bestFit="1" customWidth="1"/>
    <col min="41" max="41" width="8" style="42" bestFit="1" customWidth="1"/>
    <col min="42" max="42" width="9.578125" style="42" bestFit="1" customWidth="1"/>
    <col min="43" max="43" width="10.41796875" style="42" bestFit="1" customWidth="1"/>
    <col min="44" max="44" width="21.41796875" style="42" bestFit="1" customWidth="1"/>
    <col min="45" max="45" width="10" style="42" customWidth="1"/>
    <col min="46" max="46" width="13.15625" style="12" customWidth="1"/>
    <col min="47" max="47" width="18.578125" style="12" customWidth="1"/>
    <col min="48" max="48" width="28.41796875" style="12" customWidth="1"/>
    <col min="49" max="49" width="18.578125" style="12" customWidth="1"/>
    <col min="50" max="50" width="90.41796875" style="12" bestFit="1" customWidth="1"/>
    <col min="51" max="16384" width="10.68359375" style="12"/>
  </cols>
  <sheetData>
    <row r="1" spans="1:53" s="38" customFormat="1" ht="50.1" customHeight="1">
      <c r="A1" s="70"/>
      <c r="B1" s="70"/>
      <c r="C1" s="36"/>
      <c r="D1" s="37"/>
      <c r="E1" s="65"/>
      <c r="G1" s="39"/>
      <c r="H1" s="39"/>
      <c r="I1" s="39"/>
      <c r="J1" s="39"/>
      <c r="K1" s="39"/>
      <c r="L1" s="39"/>
      <c r="M1" s="39">
        <f t="shared" ref="M1:R1" si="0">COUNTIFS(M4:M243,"x")</f>
        <v>66</v>
      </c>
      <c r="N1" s="39">
        <f t="shared" si="0"/>
        <v>56</v>
      </c>
      <c r="O1" s="39">
        <f t="shared" si="0"/>
        <v>79</v>
      </c>
      <c r="P1" s="39">
        <f t="shared" si="0"/>
        <v>33</v>
      </c>
      <c r="Q1" s="39">
        <f t="shared" si="0"/>
        <v>8</v>
      </c>
      <c r="R1" s="40">
        <f t="shared" si="0"/>
        <v>0</v>
      </c>
      <c r="T1" s="36" t="s">
        <v>134</v>
      </c>
      <c r="U1" s="36" t="s">
        <v>8</v>
      </c>
      <c r="V1" s="36" t="s">
        <v>8</v>
      </c>
      <c r="W1" s="36" t="s">
        <v>8</v>
      </c>
      <c r="X1" s="36" t="s">
        <v>8</v>
      </c>
      <c r="Y1" s="36" t="s">
        <v>135</v>
      </c>
      <c r="Z1" s="41" t="s">
        <v>16</v>
      </c>
      <c r="AA1" s="41" t="s">
        <v>16</v>
      </c>
      <c r="AB1" s="41" t="s">
        <v>16</v>
      </c>
      <c r="AC1" s="41" t="s">
        <v>16</v>
      </c>
      <c r="AD1" s="41"/>
      <c r="AE1" s="41"/>
      <c r="AF1" s="12"/>
      <c r="AG1" s="42"/>
      <c r="AH1" s="42"/>
      <c r="AI1" s="42"/>
      <c r="AJ1" s="42"/>
      <c r="AK1" s="42"/>
      <c r="AL1" s="42"/>
      <c r="AM1" s="42"/>
      <c r="AN1" s="42"/>
      <c r="AO1" s="42"/>
      <c r="AP1" s="42"/>
      <c r="AQ1" s="42"/>
      <c r="AR1" s="42"/>
      <c r="AS1" s="42"/>
      <c r="AT1" s="12"/>
      <c r="AU1" s="12"/>
      <c r="AV1" s="12"/>
      <c r="AW1" s="12"/>
      <c r="AX1" s="12"/>
      <c r="AY1" s="12"/>
    </row>
    <row r="2" spans="1:53" s="63" customFormat="1" ht="41.65" customHeight="1">
      <c r="A2" s="54"/>
      <c r="B2" s="55" t="s">
        <v>1</v>
      </c>
      <c r="C2" s="55" t="s">
        <v>2</v>
      </c>
      <c r="D2" s="56" t="s">
        <v>120</v>
      </c>
      <c r="E2" s="56" t="s">
        <v>172</v>
      </c>
      <c r="F2" s="56" t="s">
        <v>148</v>
      </c>
      <c r="G2" s="57" t="s">
        <v>166</v>
      </c>
      <c r="H2" s="57" t="s">
        <v>136</v>
      </c>
      <c r="I2" s="57" t="s">
        <v>137</v>
      </c>
      <c r="J2" s="57" t="s">
        <v>138</v>
      </c>
      <c r="K2" s="57" t="s">
        <v>139</v>
      </c>
      <c r="L2" s="57" t="s">
        <v>140</v>
      </c>
      <c r="M2" s="57"/>
      <c r="N2" s="58"/>
      <c r="O2" s="58"/>
      <c r="P2" s="56" t="s">
        <v>0</v>
      </c>
      <c r="Q2" s="56"/>
      <c r="R2" s="59"/>
      <c r="S2" s="57" t="s">
        <v>9</v>
      </c>
      <c r="T2" s="57"/>
      <c r="U2" s="60" t="s">
        <v>1</v>
      </c>
      <c r="V2" s="60" t="s">
        <v>2</v>
      </c>
      <c r="W2" s="60" t="s">
        <v>1</v>
      </c>
      <c r="X2" s="60" t="s">
        <v>2</v>
      </c>
      <c r="Y2" s="60"/>
      <c r="Z2" s="60" t="s">
        <v>1</v>
      </c>
      <c r="AA2" s="60" t="s">
        <v>2</v>
      </c>
      <c r="AB2" s="60" t="s">
        <v>1</v>
      </c>
      <c r="AC2" s="60" t="s">
        <v>2</v>
      </c>
      <c r="AD2" s="60" t="s">
        <v>14</v>
      </c>
      <c r="AE2" s="60" t="s">
        <v>7</v>
      </c>
      <c r="AF2" s="61" t="s">
        <v>95</v>
      </c>
      <c r="AG2" s="61" t="s">
        <v>98</v>
      </c>
      <c r="AH2" s="58"/>
      <c r="AI2" s="71" t="s">
        <v>631</v>
      </c>
      <c r="AJ2" s="71"/>
      <c r="AK2" s="71"/>
      <c r="AL2" s="56" t="s">
        <v>632</v>
      </c>
      <c r="AM2" s="56" t="s">
        <v>633</v>
      </c>
      <c r="AN2" s="71" t="s">
        <v>634</v>
      </c>
      <c r="AO2" s="71"/>
      <c r="AP2" s="71"/>
      <c r="AQ2" s="71"/>
      <c r="AR2" s="58"/>
      <c r="AS2" s="56" t="s">
        <v>97</v>
      </c>
      <c r="AT2" s="55" t="s">
        <v>99</v>
      </c>
      <c r="AU2" s="55" t="s">
        <v>100</v>
      </c>
      <c r="AV2" s="69" t="s">
        <v>646</v>
      </c>
      <c r="AW2" s="55" t="s">
        <v>113</v>
      </c>
      <c r="AX2" s="55" t="s">
        <v>12</v>
      </c>
      <c r="AY2" s="62" t="s">
        <v>116</v>
      </c>
      <c r="AZ2" s="62"/>
    </row>
    <row r="3" spans="1:53" s="44" customFormat="1" ht="35.25" customHeight="1">
      <c r="A3" s="2" t="s">
        <v>11</v>
      </c>
      <c r="B3" s="1"/>
      <c r="C3" s="1"/>
      <c r="D3" s="43"/>
      <c r="E3" s="43"/>
      <c r="F3" s="43"/>
      <c r="G3" s="3"/>
      <c r="H3" s="3"/>
      <c r="I3" s="3"/>
      <c r="J3" s="3"/>
      <c r="K3" s="3"/>
      <c r="L3" s="3"/>
      <c r="M3" s="3" t="s">
        <v>3</v>
      </c>
      <c r="N3" s="3" t="s">
        <v>4</v>
      </c>
      <c r="O3" s="3" t="s">
        <v>5</v>
      </c>
      <c r="P3" s="3" t="s">
        <v>13</v>
      </c>
      <c r="Q3" s="3" t="s">
        <v>6</v>
      </c>
      <c r="R3" s="1" t="s">
        <v>10</v>
      </c>
      <c r="S3" s="1"/>
      <c r="T3" s="1"/>
      <c r="U3" s="31"/>
      <c r="V3" s="31"/>
      <c r="W3" s="31"/>
      <c r="X3" s="31"/>
      <c r="Y3" s="31"/>
      <c r="Z3" s="32"/>
      <c r="AA3" s="32"/>
      <c r="AB3" s="32"/>
      <c r="AC3" s="32"/>
      <c r="AD3" s="32"/>
      <c r="AE3" s="32"/>
      <c r="AF3" s="31"/>
      <c r="AG3" s="34" t="s">
        <v>635</v>
      </c>
      <c r="AH3" s="34" t="s">
        <v>636</v>
      </c>
      <c r="AI3" s="34" t="s">
        <v>637</v>
      </c>
      <c r="AJ3" s="34" t="s">
        <v>638</v>
      </c>
      <c r="AK3" s="34" t="s">
        <v>639</v>
      </c>
      <c r="AL3" s="34" t="s">
        <v>640</v>
      </c>
      <c r="AM3" s="34" t="s">
        <v>641</v>
      </c>
      <c r="AN3" s="34" t="s">
        <v>642</v>
      </c>
      <c r="AO3" s="34" t="s">
        <v>643</v>
      </c>
      <c r="AP3" s="34" t="s">
        <v>644</v>
      </c>
      <c r="AQ3" s="34" t="s">
        <v>645</v>
      </c>
      <c r="AR3" s="10" t="s">
        <v>101</v>
      </c>
      <c r="AS3" s="3">
        <v>4</v>
      </c>
      <c r="AT3" s="1"/>
      <c r="AU3" s="1"/>
      <c r="AV3" s="1"/>
      <c r="AW3" s="1"/>
      <c r="AX3" s="1"/>
      <c r="AY3" s="12"/>
      <c r="AZ3" s="12"/>
    </row>
    <row r="4" spans="1:53" s="46" customFormat="1" ht="20.25" customHeight="1">
      <c r="A4" s="42">
        <f t="shared" ref="A4:A35" si="1">ROW(B4)-3</f>
        <v>1</v>
      </c>
      <c r="B4" s="4" t="s">
        <v>177</v>
      </c>
      <c r="C4" s="4" t="s">
        <v>178</v>
      </c>
      <c r="D4" s="21">
        <v>42370</v>
      </c>
      <c r="E4" s="66"/>
      <c r="F4" s="13"/>
      <c r="G4" s="4"/>
      <c r="H4" s="4" t="s">
        <v>142</v>
      </c>
      <c r="I4" s="4" t="s">
        <v>143</v>
      </c>
      <c r="J4" s="4" t="s">
        <v>144</v>
      </c>
      <c r="K4" s="4" t="s">
        <v>144</v>
      </c>
      <c r="L4" s="4" t="s">
        <v>141</v>
      </c>
      <c r="M4" s="22" t="s">
        <v>15</v>
      </c>
      <c r="N4" s="25"/>
      <c r="O4" s="25" t="s">
        <v>15</v>
      </c>
      <c r="P4" s="25"/>
      <c r="Q4" s="25"/>
      <c r="R4" s="22"/>
      <c r="S4" s="6" t="s">
        <v>17</v>
      </c>
      <c r="T4" s="4" t="s">
        <v>466</v>
      </c>
      <c r="U4" s="4" t="s">
        <v>202</v>
      </c>
      <c r="V4" s="4" t="s">
        <v>322</v>
      </c>
      <c r="W4" s="4" t="s">
        <v>206</v>
      </c>
      <c r="X4" s="4" t="s">
        <v>326</v>
      </c>
      <c r="Y4" s="28" t="s">
        <v>588</v>
      </c>
      <c r="Z4" s="28"/>
      <c r="AA4" s="28"/>
      <c r="AB4" s="28"/>
      <c r="AC4" s="28"/>
      <c r="AD4" s="29">
        <v>12345</v>
      </c>
      <c r="AE4" s="29" t="s">
        <v>624</v>
      </c>
      <c r="AF4" s="28" t="s">
        <v>626</v>
      </c>
      <c r="AG4" s="35"/>
      <c r="AH4" s="5" t="s">
        <v>15</v>
      </c>
      <c r="AI4" s="5"/>
      <c r="AJ4" s="5"/>
      <c r="AK4" s="5"/>
      <c r="AL4" s="5"/>
      <c r="AM4" s="5"/>
      <c r="AN4" s="5"/>
      <c r="AO4" s="5"/>
      <c r="AP4" s="5"/>
      <c r="AQ4" s="5"/>
      <c r="AR4" s="5"/>
      <c r="AS4" s="5">
        <v>4</v>
      </c>
      <c r="AT4" s="5" t="s">
        <v>103</v>
      </c>
      <c r="AU4" s="5" t="s">
        <v>104</v>
      </c>
      <c r="AV4" s="5" t="s">
        <v>123</v>
      </c>
      <c r="AW4" s="5" t="s">
        <v>104</v>
      </c>
      <c r="AX4" s="11" t="s">
        <v>647</v>
      </c>
      <c r="AY4" s="12" t="s">
        <v>121</v>
      </c>
      <c r="AZ4" s="13"/>
      <c r="BA4" s="13"/>
    </row>
    <row r="5" spans="1:53" ht="20.25" customHeight="1">
      <c r="A5" s="42">
        <f t="shared" si="1"/>
        <v>2</v>
      </c>
      <c r="B5" s="4" t="s">
        <v>179</v>
      </c>
      <c r="C5" s="4" t="s">
        <v>180</v>
      </c>
      <c r="D5" s="21">
        <v>42371</v>
      </c>
      <c r="G5" s="4" t="s">
        <v>144</v>
      </c>
      <c r="H5" s="4" t="s">
        <v>144</v>
      </c>
      <c r="I5" s="4" t="s">
        <v>144</v>
      </c>
      <c r="J5" s="4" t="s">
        <v>144</v>
      </c>
      <c r="K5" s="4" t="s">
        <v>144</v>
      </c>
      <c r="L5" s="4" t="s">
        <v>144</v>
      </c>
      <c r="M5" s="22" t="s">
        <v>15</v>
      </c>
      <c r="N5" s="25"/>
      <c r="O5" s="25" t="s">
        <v>15</v>
      </c>
      <c r="P5" s="25"/>
      <c r="Q5" s="25"/>
      <c r="R5" s="22"/>
      <c r="S5" s="6" t="s">
        <v>18</v>
      </c>
      <c r="T5" s="4" t="s">
        <v>467</v>
      </c>
      <c r="U5" s="4" t="s">
        <v>203</v>
      </c>
      <c r="V5" s="4" t="s">
        <v>323</v>
      </c>
      <c r="W5" s="4" t="s">
        <v>207</v>
      </c>
      <c r="X5" s="4" t="s">
        <v>327</v>
      </c>
      <c r="Y5" s="28" t="s">
        <v>122</v>
      </c>
      <c r="Z5" s="28"/>
      <c r="AA5" s="28"/>
      <c r="AB5" s="28"/>
      <c r="AC5" s="28"/>
      <c r="AD5" s="29">
        <v>12345</v>
      </c>
      <c r="AE5" s="29" t="s">
        <v>625</v>
      </c>
      <c r="AF5" s="28" t="s">
        <v>627</v>
      </c>
      <c r="AG5" s="35"/>
      <c r="AH5" s="5" t="s">
        <v>15</v>
      </c>
      <c r="AI5" s="5"/>
      <c r="AJ5" s="5"/>
      <c r="AK5" s="5"/>
      <c r="AL5" s="5"/>
      <c r="AM5" s="5"/>
      <c r="AN5" s="5"/>
      <c r="AO5" s="5"/>
      <c r="AP5" s="5"/>
      <c r="AQ5" s="5"/>
      <c r="AR5" s="5"/>
      <c r="AS5" s="5" t="s">
        <v>102</v>
      </c>
      <c r="AT5" s="5" t="s">
        <v>103</v>
      </c>
      <c r="AU5" s="5" t="s">
        <v>104</v>
      </c>
      <c r="AV5" s="5"/>
      <c r="AW5" s="5" t="s">
        <v>115</v>
      </c>
      <c r="AX5" s="11" t="s">
        <v>650</v>
      </c>
      <c r="AY5" s="12" t="s">
        <v>121</v>
      </c>
    </row>
    <row r="6" spans="1:53" ht="20.25" customHeight="1">
      <c r="A6" s="42">
        <f t="shared" si="1"/>
        <v>3</v>
      </c>
      <c r="B6" s="4" t="s">
        <v>181</v>
      </c>
      <c r="C6" s="4" t="s">
        <v>301</v>
      </c>
      <c r="D6" s="21">
        <v>42372</v>
      </c>
      <c r="G6" s="4" t="s">
        <v>142</v>
      </c>
      <c r="H6" s="4" t="s">
        <v>142</v>
      </c>
      <c r="I6" s="4" t="s">
        <v>142</v>
      </c>
      <c r="J6" s="4" t="s">
        <v>142</v>
      </c>
      <c r="K6" s="4" t="s">
        <v>142</v>
      </c>
      <c r="L6" s="4" t="s">
        <v>142</v>
      </c>
      <c r="M6" s="22" t="s">
        <v>15</v>
      </c>
      <c r="N6" s="25"/>
      <c r="O6" s="25" t="s">
        <v>15</v>
      </c>
      <c r="P6" s="25"/>
      <c r="Q6" s="25"/>
      <c r="R6" s="22"/>
      <c r="S6" s="6" t="s">
        <v>19</v>
      </c>
      <c r="T6" s="4" t="s">
        <v>468</v>
      </c>
      <c r="U6" s="4" t="s">
        <v>204</v>
      </c>
      <c r="V6" s="4" t="s">
        <v>324</v>
      </c>
      <c r="W6" s="4" t="s">
        <v>208</v>
      </c>
      <c r="X6" s="4" t="s">
        <v>328</v>
      </c>
      <c r="Y6" s="28" t="s">
        <v>122</v>
      </c>
      <c r="Z6" s="28"/>
      <c r="AA6" s="28"/>
      <c r="AB6" s="28"/>
      <c r="AC6" s="28"/>
      <c r="AD6" s="29">
        <v>23456</v>
      </c>
      <c r="AE6" s="29" t="s">
        <v>624</v>
      </c>
      <c r="AF6" s="28" t="s">
        <v>628</v>
      </c>
      <c r="AG6" s="35"/>
      <c r="AH6" s="5"/>
      <c r="AI6" s="5"/>
      <c r="AJ6" s="5"/>
      <c r="AK6" s="5"/>
      <c r="AL6" s="5"/>
      <c r="AM6" s="5"/>
      <c r="AN6" s="5" t="s">
        <v>15</v>
      </c>
      <c r="AO6" s="5"/>
      <c r="AP6" s="5"/>
      <c r="AQ6" s="5"/>
      <c r="AR6" s="5"/>
      <c r="AS6" s="5" t="s">
        <v>106</v>
      </c>
      <c r="AT6" s="5" t="s">
        <v>103</v>
      </c>
      <c r="AU6" s="5" t="s">
        <v>104</v>
      </c>
      <c r="AV6" s="5" t="s">
        <v>124</v>
      </c>
      <c r="AW6" s="5" t="s">
        <v>104</v>
      </c>
      <c r="AX6" s="11" t="s">
        <v>651</v>
      </c>
      <c r="AY6" s="12" t="s">
        <v>121</v>
      </c>
    </row>
    <row r="7" spans="1:53" ht="20.25" customHeight="1">
      <c r="A7" s="42">
        <f t="shared" si="1"/>
        <v>4</v>
      </c>
      <c r="B7" s="4" t="s">
        <v>182</v>
      </c>
      <c r="C7" s="4" t="s">
        <v>302</v>
      </c>
      <c r="D7" s="21">
        <v>42373</v>
      </c>
      <c r="G7" s="4" t="s">
        <v>143</v>
      </c>
      <c r="H7" s="4" t="s">
        <v>143</v>
      </c>
      <c r="I7" s="4" t="s">
        <v>143</v>
      </c>
      <c r="J7" s="4" t="s">
        <v>143</v>
      </c>
      <c r="K7" s="4" t="s">
        <v>143</v>
      </c>
      <c r="L7" s="4" t="s">
        <v>143</v>
      </c>
      <c r="M7" s="22" t="s">
        <v>15</v>
      </c>
      <c r="N7" s="25"/>
      <c r="O7" s="25" t="s">
        <v>15</v>
      </c>
      <c r="P7" s="25"/>
      <c r="Q7" s="25"/>
      <c r="R7" s="22"/>
      <c r="S7" s="6" t="s">
        <v>20</v>
      </c>
      <c r="T7" s="4" t="s">
        <v>469</v>
      </c>
      <c r="U7" s="4" t="s">
        <v>205</v>
      </c>
      <c r="V7" s="4" t="s">
        <v>325</v>
      </c>
      <c r="W7" s="4" t="s">
        <v>209</v>
      </c>
      <c r="X7" s="4" t="s">
        <v>329</v>
      </c>
      <c r="Y7" s="28" t="s">
        <v>122</v>
      </c>
      <c r="Z7" s="28"/>
      <c r="AA7" s="28"/>
      <c r="AB7" s="28"/>
      <c r="AC7" s="28"/>
      <c r="AD7" s="29">
        <v>23456</v>
      </c>
      <c r="AE7" s="29" t="s">
        <v>625</v>
      </c>
      <c r="AF7" s="28" t="s">
        <v>629</v>
      </c>
      <c r="AG7" s="35"/>
      <c r="AH7" s="5"/>
      <c r="AI7" s="5"/>
      <c r="AJ7" s="5"/>
      <c r="AK7" s="5"/>
      <c r="AL7" s="5"/>
      <c r="AM7" s="5"/>
      <c r="AN7" s="5" t="s">
        <v>15</v>
      </c>
      <c r="AO7" s="5"/>
      <c r="AP7" s="5"/>
      <c r="AQ7" s="5"/>
      <c r="AR7" s="5"/>
      <c r="AS7" s="5" t="s">
        <v>106</v>
      </c>
      <c r="AT7" s="5" t="s">
        <v>103</v>
      </c>
      <c r="AU7" s="5" t="s">
        <v>104</v>
      </c>
      <c r="AV7" s="5" t="s">
        <v>122</v>
      </c>
      <c r="AW7" s="5" t="s">
        <v>104</v>
      </c>
      <c r="AX7" s="11" t="s">
        <v>648</v>
      </c>
      <c r="AY7" s="12" t="s">
        <v>121</v>
      </c>
    </row>
    <row r="8" spans="1:53" ht="20.25" customHeight="1">
      <c r="A8" s="42">
        <f t="shared" si="1"/>
        <v>5</v>
      </c>
      <c r="B8" s="4" t="s">
        <v>183</v>
      </c>
      <c r="C8" s="4" t="s">
        <v>303</v>
      </c>
      <c r="D8" s="21">
        <v>42374</v>
      </c>
      <c r="E8" s="67"/>
      <c r="F8" s="14"/>
      <c r="G8" s="4"/>
      <c r="H8" s="4" t="s">
        <v>143</v>
      </c>
      <c r="I8" s="4" t="s">
        <v>143</v>
      </c>
      <c r="J8" s="4" t="s">
        <v>144</v>
      </c>
      <c r="K8" s="4" t="s">
        <v>144</v>
      </c>
      <c r="L8" s="4" t="s">
        <v>143</v>
      </c>
      <c r="M8" s="22"/>
      <c r="N8" s="25" t="s">
        <v>15</v>
      </c>
      <c r="O8" s="25" t="s">
        <v>15</v>
      </c>
      <c r="P8" s="25"/>
      <c r="Q8" s="25"/>
      <c r="R8" s="22"/>
      <c r="S8" s="6" t="s">
        <v>21</v>
      </c>
      <c r="T8" s="4" t="s">
        <v>470</v>
      </c>
      <c r="U8" s="4" t="s">
        <v>206</v>
      </c>
      <c r="V8" s="4" t="s">
        <v>326</v>
      </c>
      <c r="W8" s="4" t="s">
        <v>210</v>
      </c>
      <c r="X8" s="4" t="s">
        <v>330</v>
      </c>
      <c r="Y8" s="28" t="s">
        <v>122</v>
      </c>
      <c r="Z8" s="28"/>
      <c r="AA8" s="28"/>
      <c r="AB8" s="28"/>
      <c r="AC8" s="28"/>
      <c r="AD8" s="29">
        <v>12345</v>
      </c>
      <c r="AE8" s="29" t="s">
        <v>624</v>
      </c>
      <c r="AF8" s="28" t="s">
        <v>630</v>
      </c>
      <c r="AG8" s="35"/>
      <c r="AH8" s="5"/>
      <c r="AI8" s="5"/>
      <c r="AJ8" s="5"/>
      <c r="AK8" s="5" t="s">
        <v>15</v>
      </c>
      <c r="AL8" s="5"/>
      <c r="AM8" s="5"/>
      <c r="AN8" s="5"/>
      <c r="AO8" s="5"/>
      <c r="AP8" s="5"/>
      <c r="AQ8" s="5"/>
      <c r="AR8" s="5"/>
      <c r="AS8" s="5" t="s">
        <v>106</v>
      </c>
      <c r="AT8" s="5" t="s">
        <v>108</v>
      </c>
      <c r="AU8" s="5" t="s">
        <v>104</v>
      </c>
      <c r="AV8" s="5" t="s">
        <v>127</v>
      </c>
      <c r="AW8" s="5" t="s">
        <v>104</v>
      </c>
      <c r="AX8" s="11" t="s">
        <v>652</v>
      </c>
      <c r="AY8" s="12" t="s">
        <v>121</v>
      </c>
      <c r="AZ8" s="14"/>
      <c r="BA8" s="14"/>
    </row>
    <row r="9" spans="1:53" s="15" customFormat="1" ht="20.25" customHeight="1">
      <c r="A9" s="42">
        <f t="shared" si="1"/>
        <v>6</v>
      </c>
      <c r="B9" s="4" t="s">
        <v>184</v>
      </c>
      <c r="C9" s="4" t="s">
        <v>304</v>
      </c>
      <c r="D9" s="21">
        <v>42375</v>
      </c>
      <c r="E9" s="67"/>
      <c r="F9" s="14"/>
      <c r="G9" s="4"/>
      <c r="H9" s="4" t="s">
        <v>143</v>
      </c>
      <c r="I9" s="4" t="s">
        <v>142</v>
      </c>
      <c r="J9" s="4" t="s">
        <v>142</v>
      </c>
      <c r="K9" s="4" t="s">
        <v>142</v>
      </c>
      <c r="L9" s="4" t="s">
        <v>142</v>
      </c>
      <c r="M9" s="22"/>
      <c r="N9" s="25" t="s">
        <v>15</v>
      </c>
      <c r="O9" s="25" t="s">
        <v>15</v>
      </c>
      <c r="P9" s="25"/>
      <c r="Q9" s="25"/>
      <c r="R9" s="22"/>
      <c r="S9" s="6" t="s">
        <v>22</v>
      </c>
      <c r="T9" s="4" t="s">
        <v>471</v>
      </c>
      <c r="U9" s="4" t="s">
        <v>207</v>
      </c>
      <c r="V9" s="4" t="s">
        <v>327</v>
      </c>
      <c r="W9" s="4" t="s">
        <v>211</v>
      </c>
      <c r="X9" s="4" t="s">
        <v>331</v>
      </c>
      <c r="Y9" s="28" t="s">
        <v>122</v>
      </c>
      <c r="Z9" s="28"/>
      <c r="AA9" s="28"/>
      <c r="AB9" s="28"/>
      <c r="AC9" s="28"/>
      <c r="AD9" s="29">
        <v>12345</v>
      </c>
      <c r="AE9" s="29" t="s">
        <v>625</v>
      </c>
      <c r="AF9" s="28" t="s">
        <v>626</v>
      </c>
      <c r="AG9" s="35"/>
      <c r="AH9" s="5"/>
      <c r="AI9" s="5"/>
      <c r="AJ9" s="5"/>
      <c r="AK9" s="5" t="s">
        <v>15</v>
      </c>
      <c r="AL9" s="5"/>
      <c r="AM9" s="5"/>
      <c r="AN9" s="5"/>
      <c r="AO9" s="5"/>
      <c r="AP9" s="5"/>
      <c r="AQ9" s="5"/>
      <c r="AR9" s="5"/>
      <c r="AS9" s="5" t="s">
        <v>106</v>
      </c>
      <c r="AT9" s="5" t="s">
        <v>103</v>
      </c>
      <c r="AU9" s="5" t="s">
        <v>104</v>
      </c>
      <c r="AV9" s="5" t="s">
        <v>123</v>
      </c>
      <c r="AW9" s="5" t="s">
        <v>104</v>
      </c>
      <c r="AX9" s="11" t="s">
        <v>653</v>
      </c>
      <c r="AY9" s="12" t="s">
        <v>121</v>
      </c>
      <c r="AZ9" s="14"/>
      <c r="BA9" s="14"/>
    </row>
    <row r="10" spans="1:53" ht="20.25" customHeight="1">
      <c r="A10" s="42">
        <f t="shared" si="1"/>
        <v>7</v>
      </c>
      <c r="B10" s="4" t="s">
        <v>185</v>
      </c>
      <c r="C10" s="4" t="s">
        <v>305</v>
      </c>
      <c r="D10" s="21">
        <v>42376</v>
      </c>
      <c r="E10" s="52"/>
      <c r="F10" s="46"/>
      <c r="G10" s="4" t="s">
        <v>141</v>
      </c>
      <c r="H10" s="4" t="s">
        <v>141</v>
      </c>
      <c r="I10" s="4" t="s">
        <v>141</v>
      </c>
      <c r="J10" s="4" t="s">
        <v>141</v>
      </c>
      <c r="K10" s="4" t="s">
        <v>141</v>
      </c>
      <c r="L10" s="4" t="s">
        <v>141</v>
      </c>
      <c r="M10" s="22"/>
      <c r="N10" s="25" t="s">
        <v>15</v>
      </c>
      <c r="O10" s="25"/>
      <c r="P10" s="25" t="s">
        <v>15</v>
      </c>
      <c r="Q10" s="25"/>
      <c r="R10" s="22"/>
      <c r="S10" s="6" t="s">
        <v>23</v>
      </c>
      <c r="T10" s="4" t="s">
        <v>472</v>
      </c>
      <c r="U10" s="4" t="s">
        <v>208</v>
      </c>
      <c r="V10" s="4" t="s">
        <v>328</v>
      </c>
      <c r="W10" s="4" t="s">
        <v>212</v>
      </c>
      <c r="X10" s="4" t="s">
        <v>332</v>
      </c>
      <c r="Y10" s="28"/>
      <c r="Z10" s="28"/>
      <c r="AA10" s="28"/>
      <c r="AB10" s="28"/>
      <c r="AC10" s="28"/>
      <c r="AD10" s="29">
        <v>23456</v>
      </c>
      <c r="AE10" s="29" t="s">
        <v>624</v>
      </c>
      <c r="AF10" s="28" t="s">
        <v>627</v>
      </c>
      <c r="AG10" s="35" t="s">
        <v>15</v>
      </c>
      <c r="AH10" s="5"/>
      <c r="AI10" s="5"/>
      <c r="AJ10" s="5"/>
      <c r="AK10" s="5"/>
      <c r="AL10" s="5"/>
      <c r="AM10" s="5"/>
      <c r="AN10" s="5"/>
      <c r="AO10" s="5"/>
      <c r="AP10" s="5"/>
      <c r="AQ10" s="5"/>
      <c r="AR10" s="5"/>
      <c r="AS10" s="5" t="s">
        <v>106</v>
      </c>
      <c r="AT10" s="5" t="s">
        <v>107</v>
      </c>
      <c r="AU10" s="5" t="s">
        <v>104</v>
      </c>
      <c r="AV10" s="5"/>
      <c r="AW10" s="5" t="s">
        <v>104</v>
      </c>
      <c r="AX10" s="11" t="s">
        <v>654</v>
      </c>
      <c r="AY10" s="12" t="str">
        <f>IFERROR(VLOOKUP(MATCH(" ",AG10:AQ10,-1),'[1]erlaubte Werte'!J$2:K$13,2,0),"")</f>
        <v/>
      </c>
      <c r="AZ10" s="46"/>
      <c r="BA10" s="7"/>
    </row>
    <row r="11" spans="1:53" ht="20.25" customHeight="1">
      <c r="A11" s="42">
        <f t="shared" si="1"/>
        <v>8</v>
      </c>
      <c r="B11" s="4" t="s">
        <v>186</v>
      </c>
      <c r="C11" s="4" t="s">
        <v>306</v>
      </c>
      <c r="D11" s="21">
        <v>42377</v>
      </c>
      <c r="E11" s="52"/>
      <c r="F11" s="46"/>
      <c r="G11" s="4" t="s">
        <v>141</v>
      </c>
      <c r="H11" s="4" t="s">
        <v>141</v>
      </c>
      <c r="I11" s="4" t="s">
        <v>141</v>
      </c>
      <c r="J11" s="4" t="s">
        <v>141</v>
      </c>
      <c r="K11" s="4" t="s">
        <v>141</v>
      </c>
      <c r="L11" s="4" t="s">
        <v>141</v>
      </c>
      <c r="M11" s="22"/>
      <c r="N11" s="25" t="s">
        <v>15</v>
      </c>
      <c r="O11" s="25"/>
      <c r="P11" s="25" t="s">
        <v>15</v>
      </c>
      <c r="Q11" s="25"/>
      <c r="R11" s="22"/>
      <c r="S11" s="6" t="s">
        <v>24</v>
      </c>
      <c r="T11" s="4" t="s">
        <v>473</v>
      </c>
      <c r="U11" s="4" t="s">
        <v>209</v>
      </c>
      <c r="V11" s="4" t="s">
        <v>329</v>
      </c>
      <c r="W11" s="4" t="s">
        <v>213</v>
      </c>
      <c r="X11" s="4" t="s">
        <v>333</v>
      </c>
      <c r="Y11" s="28"/>
      <c r="Z11" s="28"/>
      <c r="AA11" s="28"/>
      <c r="AB11" s="28"/>
      <c r="AC11" s="28"/>
      <c r="AD11" s="29">
        <v>23456</v>
      </c>
      <c r="AE11" s="29" t="s">
        <v>625</v>
      </c>
      <c r="AF11" s="28" t="s">
        <v>628</v>
      </c>
      <c r="AG11" s="35"/>
      <c r="AH11" s="5"/>
      <c r="AI11" s="5"/>
      <c r="AJ11" s="5" t="s">
        <v>15</v>
      </c>
      <c r="AK11" s="5"/>
      <c r="AL11" s="5"/>
      <c r="AM11" s="5"/>
      <c r="AN11" s="5"/>
      <c r="AO11" s="5"/>
      <c r="AP11" s="5"/>
      <c r="AQ11" s="5"/>
      <c r="AR11" s="5"/>
      <c r="AS11" s="5" t="s">
        <v>117</v>
      </c>
      <c r="AT11" s="5" t="s">
        <v>103</v>
      </c>
      <c r="AU11" s="5" t="s">
        <v>104</v>
      </c>
      <c r="AV11" s="5" t="s">
        <v>124</v>
      </c>
      <c r="AW11" s="5" t="s">
        <v>104</v>
      </c>
      <c r="AX11" s="11" t="s">
        <v>655</v>
      </c>
      <c r="AY11" s="12" t="str">
        <f>IFERROR(VLOOKUP(MATCH(" ",AG11:AQ11,-1),'[1]erlaubte Werte'!J$2:K$13,2,0),"")</f>
        <v/>
      </c>
      <c r="AZ11" s="46"/>
      <c r="BA11" s="7"/>
    </row>
    <row r="12" spans="1:53" ht="20.25" customHeight="1">
      <c r="A12" s="42">
        <f t="shared" si="1"/>
        <v>9</v>
      </c>
      <c r="B12" s="4" t="s">
        <v>187</v>
      </c>
      <c r="C12" s="4" t="s">
        <v>307</v>
      </c>
      <c r="D12" s="21">
        <v>42378</v>
      </c>
      <c r="E12" s="52"/>
      <c r="F12" s="46"/>
      <c r="G12" s="4" t="s">
        <v>141</v>
      </c>
      <c r="H12" s="4" t="s">
        <v>141</v>
      </c>
      <c r="I12" s="4" t="s">
        <v>141</v>
      </c>
      <c r="J12" s="4" t="s">
        <v>141</v>
      </c>
      <c r="K12" s="4" t="s">
        <v>141</v>
      </c>
      <c r="L12" s="4" t="s">
        <v>141</v>
      </c>
      <c r="M12" s="22" t="s">
        <v>15</v>
      </c>
      <c r="N12" s="25"/>
      <c r="O12" s="25"/>
      <c r="P12" s="25" t="s">
        <v>15</v>
      </c>
      <c r="Q12" s="25"/>
      <c r="R12" s="22"/>
      <c r="S12" s="6" t="s">
        <v>25</v>
      </c>
      <c r="T12" s="4" t="s">
        <v>474</v>
      </c>
      <c r="U12" s="4" t="s">
        <v>210</v>
      </c>
      <c r="V12" s="4" t="s">
        <v>330</v>
      </c>
      <c r="W12" s="4" t="s">
        <v>214</v>
      </c>
      <c r="X12" s="4" t="s">
        <v>334</v>
      </c>
      <c r="Y12" s="28" t="s">
        <v>122</v>
      </c>
      <c r="Z12" s="28"/>
      <c r="AA12" s="28"/>
      <c r="AB12" s="28"/>
      <c r="AC12" s="28"/>
      <c r="AD12" s="29">
        <v>12345</v>
      </c>
      <c r="AE12" s="29" t="s">
        <v>624</v>
      </c>
      <c r="AF12" s="28" t="s">
        <v>629</v>
      </c>
      <c r="AG12" s="35"/>
      <c r="AH12" s="5"/>
      <c r="AI12" s="5"/>
      <c r="AJ12" s="5"/>
      <c r="AK12" s="5"/>
      <c r="AL12" s="5" t="s">
        <v>15</v>
      </c>
      <c r="AM12" s="5"/>
      <c r="AN12" s="5"/>
      <c r="AO12" s="5"/>
      <c r="AP12" s="5"/>
      <c r="AQ12" s="5"/>
      <c r="AR12" s="5"/>
      <c r="AS12" s="5" t="s">
        <v>102</v>
      </c>
      <c r="AT12" s="5" t="s">
        <v>103</v>
      </c>
      <c r="AU12" s="5" t="s">
        <v>104</v>
      </c>
      <c r="AV12" s="5"/>
      <c r="AW12" s="5" t="s">
        <v>104</v>
      </c>
      <c r="AX12" s="11" t="s">
        <v>656</v>
      </c>
      <c r="AY12" s="12" t="str">
        <f>IFERROR(VLOOKUP(MATCH(" ",AG12:AQ12,-1),'[1]erlaubte Werte'!J$2:K$13,2,0),"")</f>
        <v/>
      </c>
      <c r="AZ12" s="46"/>
      <c r="BA12" s="7"/>
    </row>
    <row r="13" spans="1:53" ht="20.25" customHeight="1">
      <c r="A13" s="42">
        <f t="shared" si="1"/>
        <v>10</v>
      </c>
      <c r="B13" s="4" t="s">
        <v>188</v>
      </c>
      <c r="C13" s="4" t="s">
        <v>308</v>
      </c>
      <c r="D13" s="21">
        <v>42379</v>
      </c>
      <c r="E13" s="67"/>
      <c r="F13" s="14"/>
      <c r="G13" s="4"/>
      <c r="H13" s="4" t="s">
        <v>141</v>
      </c>
      <c r="I13" s="4" t="s">
        <v>143</v>
      </c>
      <c r="J13" s="4" t="s">
        <v>144</v>
      </c>
      <c r="K13" s="4" t="s">
        <v>144</v>
      </c>
      <c r="L13" s="4" t="s">
        <v>144</v>
      </c>
      <c r="M13" s="22"/>
      <c r="N13" s="25" t="s">
        <v>15</v>
      </c>
      <c r="O13" s="25" t="s">
        <v>15</v>
      </c>
      <c r="P13" s="25"/>
      <c r="Q13" s="25"/>
      <c r="R13" s="22"/>
      <c r="S13" s="6" t="s">
        <v>26</v>
      </c>
      <c r="T13" s="4" t="s">
        <v>475</v>
      </c>
      <c r="U13" s="4" t="s">
        <v>211</v>
      </c>
      <c r="V13" s="4" t="s">
        <v>331</v>
      </c>
      <c r="W13" s="4" t="s">
        <v>215</v>
      </c>
      <c r="X13" s="4" t="s">
        <v>335</v>
      </c>
      <c r="Y13" s="28" t="s">
        <v>122</v>
      </c>
      <c r="Z13" s="28"/>
      <c r="AA13" s="28"/>
      <c r="AB13" s="28"/>
      <c r="AC13" s="28"/>
      <c r="AD13" s="29">
        <v>12345</v>
      </c>
      <c r="AE13" s="29" t="s">
        <v>625</v>
      </c>
      <c r="AF13" s="28" t="s">
        <v>630</v>
      </c>
      <c r="AG13" s="35"/>
      <c r="AH13" s="5" t="s">
        <v>15</v>
      </c>
      <c r="AI13" s="5"/>
      <c r="AJ13" s="5"/>
      <c r="AK13" s="5"/>
      <c r="AL13" s="5"/>
      <c r="AM13" s="5"/>
      <c r="AN13" s="5"/>
      <c r="AO13" s="5"/>
      <c r="AP13" s="5"/>
      <c r="AQ13" s="5"/>
      <c r="AR13" s="5"/>
      <c r="AS13" s="5" t="s">
        <v>102</v>
      </c>
      <c r="AT13" s="5" t="s">
        <v>103</v>
      </c>
      <c r="AU13" s="5" t="s">
        <v>104</v>
      </c>
      <c r="AV13" s="5" t="s">
        <v>122</v>
      </c>
      <c r="AW13" s="5" t="s">
        <v>104</v>
      </c>
      <c r="AX13" s="11" t="s">
        <v>657</v>
      </c>
      <c r="AY13" s="12" t="s">
        <v>121</v>
      </c>
      <c r="AZ13" s="14"/>
      <c r="BA13" s="14"/>
    </row>
    <row r="14" spans="1:53" ht="20.25" customHeight="1">
      <c r="A14" s="42">
        <f t="shared" si="1"/>
        <v>11</v>
      </c>
      <c r="B14" s="4" t="s">
        <v>189</v>
      </c>
      <c r="C14" s="4" t="s">
        <v>309</v>
      </c>
      <c r="D14" s="21">
        <v>42380</v>
      </c>
      <c r="E14" s="52"/>
      <c r="F14" s="46"/>
      <c r="G14" s="4"/>
      <c r="H14" s="4" t="s">
        <v>141</v>
      </c>
      <c r="I14" s="4" t="s">
        <v>144</v>
      </c>
      <c r="J14" s="4" t="s">
        <v>143</v>
      </c>
      <c r="K14" s="4" t="s">
        <v>143</v>
      </c>
      <c r="L14" s="4" t="s">
        <v>144</v>
      </c>
      <c r="M14" s="22" t="s">
        <v>15</v>
      </c>
      <c r="N14" s="25"/>
      <c r="O14" s="25"/>
      <c r="P14" s="25" t="s">
        <v>15</v>
      </c>
      <c r="Q14" s="25"/>
      <c r="R14" s="22"/>
      <c r="S14" s="6" t="s">
        <v>27</v>
      </c>
      <c r="T14" s="4" t="s">
        <v>476</v>
      </c>
      <c r="U14" s="4" t="s">
        <v>212</v>
      </c>
      <c r="V14" s="4" t="s">
        <v>332</v>
      </c>
      <c r="W14" s="4" t="s">
        <v>216</v>
      </c>
      <c r="X14" s="4" t="s">
        <v>336</v>
      </c>
      <c r="Y14" s="28"/>
      <c r="Z14" s="28"/>
      <c r="AA14" s="28"/>
      <c r="AB14" s="28"/>
      <c r="AC14" s="28"/>
      <c r="AD14" s="29">
        <v>23456</v>
      </c>
      <c r="AE14" s="29" t="s">
        <v>624</v>
      </c>
      <c r="AF14" s="28" t="s">
        <v>626</v>
      </c>
      <c r="AG14" s="35"/>
      <c r="AH14" s="5" t="s">
        <v>15</v>
      </c>
      <c r="AI14" s="5"/>
      <c r="AJ14" s="5"/>
      <c r="AK14" s="5"/>
      <c r="AL14" s="5"/>
      <c r="AM14" s="5"/>
      <c r="AN14" s="5"/>
      <c r="AO14" s="5"/>
      <c r="AP14" s="5"/>
      <c r="AQ14" s="5"/>
      <c r="AR14" s="5"/>
      <c r="AS14" s="5" t="s">
        <v>119</v>
      </c>
      <c r="AT14" s="5" t="s">
        <v>103</v>
      </c>
      <c r="AU14" s="5" t="s">
        <v>104</v>
      </c>
      <c r="AV14" s="5"/>
      <c r="AW14" s="5" t="s">
        <v>104</v>
      </c>
      <c r="AX14" s="11" t="s">
        <v>649</v>
      </c>
      <c r="AY14" s="12" t="str">
        <f>IFERROR(VLOOKUP(MATCH(" ",AG14:AQ14,-1),'[1]erlaubte Werte'!J$2:K$13,2,0),"")</f>
        <v/>
      </c>
      <c r="AZ14" s="46"/>
      <c r="BA14" s="7"/>
    </row>
    <row r="15" spans="1:53" ht="20.25" customHeight="1">
      <c r="A15" s="42">
        <f t="shared" si="1"/>
        <v>12</v>
      </c>
      <c r="B15" s="4" t="s">
        <v>190</v>
      </c>
      <c r="C15" s="4" t="s">
        <v>310</v>
      </c>
      <c r="D15" s="21">
        <v>42381</v>
      </c>
      <c r="G15" s="4"/>
      <c r="H15" s="4" t="s">
        <v>144</v>
      </c>
      <c r="I15" s="4" t="s">
        <v>144</v>
      </c>
      <c r="J15" s="4" t="s">
        <v>143</v>
      </c>
      <c r="K15" s="4" t="s">
        <v>143</v>
      </c>
      <c r="L15" s="4" t="s">
        <v>142</v>
      </c>
      <c r="M15" s="22"/>
      <c r="N15" s="25" t="s">
        <v>15</v>
      </c>
      <c r="O15" s="25" t="s">
        <v>15</v>
      </c>
      <c r="P15" s="25"/>
      <c r="Q15" s="25"/>
      <c r="R15" s="22"/>
      <c r="S15" s="6" t="s">
        <v>28</v>
      </c>
      <c r="T15" s="4" t="s">
        <v>477</v>
      </c>
      <c r="U15" s="4" t="s">
        <v>213</v>
      </c>
      <c r="V15" s="4" t="s">
        <v>333</v>
      </c>
      <c r="W15" s="4" t="s">
        <v>217</v>
      </c>
      <c r="X15" s="4" t="s">
        <v>337</v>
      </c>
      <c r="Y15" s="28" t="s">
        <v>122</v>
      </c>
      <c r="Z15" s="28"/>
      <c r="AA15" s="28"/>
      <c r="AB15" s="28"/>
      <c r="AC15" s="28"/>
      <c r="AD15" s="29">
        <v>23456</v>
      </c>
      <c r="AE15" s="29" t="s">
        <v>625</v>
      </c>
      <c r="AF15" s="28" t="s">
        <v>627</v>
      </c>
      <c r="AG15" s="35"/>
      <c r="AH15" s="5"/>
      <c r="AI15" s="5"/>
      <c r="AJ15" s="5" t="s">
        <v>15</v>
      </c>
      <c r="AK15" s="5"/>
      <c r="AL15" s="5"/>
      <c r="AM15" s="5"/>
      <c r="AN15" s="5"/>
      <c r="AO15" s="5"/>
      <c r="AP15" s="5"/>
      <c r="AQ15" s="5"/>
      <c r="AR15" s="5"/>
      <c r="AS15" s="5" t="s">
        <v>106</v>
      </c>
      <c r="AT15" s="5" t="s">
        <v>103</v>
      </c>
      <c r="AU15" s="5" t="s">
        <v>104</v>
      </c>
      <c r="AV15" s="5" t="s">
        <v>122</v>
      </c>
      <c r="AW15" s="5" t="s">
        <v>104</v>
      </c>
      <c r="AX15" s="11" t="s">
        <v>658</v>
      </c>
      <c r="AY15" s="12" t="s">
        <v>121</v>
      </c>
    </row>
    <row r="16" spans="1:53" s="15" customFormat="1" ht="20.25" customHeight="1">
      <c r="A16" s="42">
        <f t="shared" si="1"/>
        <v>13</v>
      </c>
      <c r="B16" s="4" t="s">
        <v>191</v>
      </c>
      <c r="C16" s="4" t="s">
        <v>311</v>
      </c>
      <c r="D16" s="21">
        <v>42382</v>
      </c>
      <c r="E16" s="67"/>
      <c r="F16" s="14"/>
      <c r="G16" s="4"/>
      <c r="H16" s="4" t="s">
        <v>142</v>
      </c>
      <c r="I16" s="4" t="s">
        <v>144</v>
      </c>
      <c r="J16" s="4" t="s">
        <v>141</v>
      </c>
      <c r="K16" s="4" t="s">
        <v>141</v>
      </c>
      <c r="L16" s="4" t="s">
        <v>141</v>
      </c>
      <c r="M16" s="22" t="s">
        <v>15</v>
      </c>
      <c r="N16" s="25"/>
      <c r="O16" s="25" t="s">
        <v>15</v>
      </c>
      <c r="P16" s="25"/>
      <c r="Q16" s="25"/>
      <c r="R16" s="22"/>
      <c r="S16" s="6" t="s">
        <v>29</v>
      </c>
      <c r="T16" s="4" t="s">
        <v>478</v>
      </c>
      <c r="U16" s="4" t="s">
        <v>214</v>
      </c>
      <c r="V16" s="4" t="s">
        <v>334</v>
      </c>
      <c r="W16" s="4" t="s">
        <v>218</v>
      </c>
      <c r="X16" s="4" t="s">
        <v>338</v>
      </c>
      <c r="Y16" s="28" t="s">
        <v>122</v>
      </c>
      <c r="Z16" s="28"/>
      <c r="AA16" s="28"/>
      <c r="AB16" s="28"/>
      <c r="AC16" s="28"/>
      <c r="AD16" s="29">
        <v>12345</v>
      </c>
      <c r="AE16" s="29" t="s">
        <v>624</v>
      </c>
      <c r="AF16" s="28" t="s">
        <v>628</v>
      </c>
      <c r="AG16" s="35"/>
      <c r="AH16" s="5" t="s">
        <v>15</v>
      </c>
      <c r="AI16" s="5"/>
      <c r="AJ16" s="5"/>
      <c r="AK16" s="5"/>
      <c r="AL16" s="5"/>
      <c r="AM16" s="5"/>
      <c r="AN16" s="5"/>
      <c r="AO16" s="5"/>
      <c r="AP16" s="5"/>
      <c r="AQ16" s="5"/>
      <c r="AR16" s="5"/>
      <c r="AS16" s="5" t="s">
        <v>105</v>
      </c>
      <c r="AT16" s="5" t="s">
        <v>103</v>
      </c>
      <c r="AU16" s="5" t="s">
        <v>104</v>
      </c>
      <c r="AV16" s="5" t="s">
        <v>128</v>
      </c>
      <c r="AW16" s="5" t="s">
        <v>104</v>
      </c>
      <c r="AX16" s="11" t="s">
        <v>659</v>
      </c>
      <c r="AY16" s="12" t="s">
        <v>121</v>
      </c>
      <c r="AZ16" s="14"/>
      <c r="BA16" s="14"/>
    </row>
    <row r="17" spans="1:53" ht="20.25" customHeight="1">
      <c r="A17" s="42">
        <f t="shared" si="1"/>
        <v>14</v>
      </c>
      <c r="B17" s="4" t="s">
        <v>192</v>
      </c>
      <c r="C17" s="4" t="s">
        <v>312</v>
      </c>
      <c r="D17" s="21">
        <v>42383</v>
      </c>
      <c r="E17" s="52"/>
      <c r="F17" s="46"/>
      <c r="G17" s="4"/>
      <c r="H17" s="4" t="s">
        <v>144</v>
      </c>
      <c r="I17" s="4" t="s">
        <v>143</v>
      </c>
      <c r="J17" s="4" t="s">
        <v>142</v>
      </c>
      <c r="K17" s="4" t="s">
        <v>142</v>
      </c>
      <c r="L17" s="4" t="s">
        <v>142</v>
      </c>
      <c r="M17" s="22" t="s">
        <v>15</v>
      </c>
      <c r="N17" s="23"/>
      <c r="O17" s="23"/>
      <c r="P17" s="23" t="s">
        <v>15</v>
      </c>
      <c r="Q17" s="23"/>
      <c r="R17" s="24"/>
      <c r="S17" s="6" t="s">
        <v>30</v>
      </c>
      <c r="T17" s="4" t="s">
        <v>479</v>
      </c>
      <c r="U17" s="4" t="s">
        <v>215</v>
      </c>
      <c r="V17" s="4" t="s">
        <v>335</v>
      </c>
      <c r="W17" s="4" t="s">
        <v>219</v>
      </c>
      <c r="X17" s="4" t="s">
        <v>339</v>
      </c>
      <c r="Y17" s="28" t="s">
        <v>122</v>
      </c>
      <c r="Z17" s="28"/>
      <c r="AA17" s="28"/>
      <c r="AB17" s="28"/>
      <c r="AC17" s="28"/>
      <c r="AD17" s="29">
        <v>12345</v>
      </c>
      <c r="AE17" s="29" t="s">
        <v>625</v>
      </c>
      <c r="AF17" s="28" t="s">
        <v>629</v>
      </c>
      <c r="AG17" s="35" t="s">
        <v>15</v>
      </c>
      <c r="AH17" s="5"/>
      <c r="AI17" s="5"/>
      <c r="AJ17" s="5"/>
      <c r="AK17" s="5"/>
      <c r="AL17" s="5"/>
      <c r="AM17" s="5"/>
      <c r="AN17" s="5"/>
      <c r="AO17" s="5"/>
      <c r="AP17" s="5"/>
      <c r="AQ17" s="5"/>
      <c r="AR17" s="5"/>
      <c r="AS17" s="5" t="s">
        <v>102</v>
      </c>
      <c r="AT17" s="5" t="s">
        <v>107</v>
      </c>
      <c r="AU17" s="5" t="s">
        <v>104</v>
      </c>
      <c r="AV17" s="5" t="s">
        <v>122</v>
      </c>
      <c r="AW17" s="5" t="s">
        <v>104</v>
      </c>
      <c r="AX17" s="11" t="s">
        <v>660</v>
      </c>
      <c r="AY17" s="12" t="str">
        <f>IFERROR(VLOOKUP(MATCH(" ",AG17:AQ17,-1),'[1]erlaubte Werte'!J$2:K$13,2,0),"")</f>
        <v/>
      </c>
      <c r="AZ17" s="46"/>
      <c r="BA17" s="7"/>
    </row>
    <row r="18" spans="1:53" s="15" customFormat="1" ht="20.25" customHeight="1">
      <c r="A18" s="42">
        <f t="shared" si="1"/>
        <v>15</v>
      </c>
      <c r="B18" s="4" t="s">
        <v>193</v>
      </c>
      <c r="C18" s="4" t="s">
        <v>313</v>
      </c>
      <c r="D18" s="21">
        <v>42384</v>
      </c>
      <c r="E18" s="67"/>
      <c r="F18" s="14"/>
      <c r="G18" s="4"/>
      <c r="H18" s="4" t="s">
        <v>142</v>
      </c>
      <c r="I18" s="4" t="s">
        <v>141</v>
      </c>
      <c r="J18" s="4" t="s">
        <v>144</v>
      </c>
      <c r="K18" s="4" t="s">
        <v>144</v>
      </c>
      <c r="L18" s="4" t="s">
        <v>144</v>
      </c>
      <c r="M18" s="22" t="s">
        <v>15</v>
      </c>
      <c r="N18" s="25"/>
      <c r="O18" s="25" t="s">
        <v>15</v>
      </c>
      <c r="P18" s="25"/>
      <c r="Q18" s="25"/>
      <c r="R18" s="22"/>
      <c r="S18" s="6" t="s">
        <v>31</v>
      </c>
      <c r="T18" s="4" t="s">
        <v>480</v>
      </c>
      <c r="U18" s="4" t="s">
        <v>216</v>
      </c>
      <c r="V18" s="4" t="s">
        <v>336</v>
      </c>
      <c r="W18" s="4" t="s">
        <v>220</v>
      </c>
      <c r="X18" s="4" t="s">
        <v>340</v>
      </c>
      <c r="Y18" s="28" t="s">
        <v>122</v>
      </c>
      <c r="Z18" s="28"/>
      <c r="AA18" s="28"/>
      <c r="AB18" s="28"/>
      <c r="AC18" s="28"/>
      <c r="AD18" s="29">
        <v>23456</v>
      </c>
      <c r="AE18" s="29" t="s">
        <v>624</v>
      </c>
      <c r="AF18" s="28" t="s">
        <v>630</v>
      </c>
      <c r="AG18" s="35"/>
      <c r="AH18" s="5"/>
      <c r="AI18" s="5" t="s">
        <v>15</v>
      </c>
      <c r="AJ18" s="5"/>
      <c r="AK18" s="5"/>
      <c r="AL18" s="5"/>
      <c r="AM18" s="5"/>
      <c r="AN18" s="5"/>
      <c r="AO18" s="5"/>
      <c r="AP18" s="5"/>
      <c r="AQ18" s="5"/>
      <c r="AR18" s="5"/>
      <c r="AS18" s="5" t="s">
        <v>106</v>
      </c>
      <c r="AT18" s="5" t="s">
        <v>103</v>
      </c>
      <c r="AU18" s="5" t="s">
        <v>104</v>
      </c>
      <c r="AV18" s="5" t="s">
        <v>122</v>
      </c>
      <c r="AW18" s="5" t="s">
        <v>104</v>
      </c>
      <c r="AX18" s="11" t="s">
        <v>661</v>
      </c>
      <c r="AY18" s="12" t="s">
        <v>121</v>
      </c>
      <c r="AZ18" s="14"/>
      <c r="BA18" s="14"/>
    </row>
    <row r="19" spans="1:53" ht="20.25" customHeight="1">
      <c r="A19" s="42">
        <f t="shared" si="1"/>
        <v>16</v>
      </c>
      <c r="B19" s="4" t="s">
        <v>194</v>
      </c>
      <c r="C19" s="4" t="s">
        <v>314</v>
      </c>
      <c r="D19" s="21">
        <v>42385</v>
      </c>
      <c r="E19" s="66"/>
      <c r="F19" s="13"/>
      <c r="G19" s="4"/>
      <c r="H19" s="4" t="s">
        <v>143</v>
      </c>
      <c r="I19" s="4" t="s">
        <v>142</v>
      </c>
      <c r="J19" s="4" t="s">
        <v>142</v>
      </c>
      <c r="K19" s="4" t="s">
        <v>142</v>
      </c>
      <c r="L19" s="4" t="s">
        <v>142</v>
      </c>
      <c r="M19" s="22"/>
      <c r="N19" s="25" t="s">
        <v>15</v>
      </c>
      <c r="O19" s="25" t="s">
        <v>15</v>
      </c>
      <c r="P19" s="25"/>
      <c r="Q19" s="25"/>
      <c r="R19" s="22"/>
      <c r="S19" s="6" t="s">
        <v>32</v>
      </c>
      <c r="T19" s="4" t="s">
        <v>481</v>
      </c>
      <c r="U19" s="4" t="s">
        <v>217</v>
      </c>
      <c r="V19" s="4" t="s">
        <v>337</v>
      </c>
      <c r="W19" s="4" t="s">
        <v>221</v>
      </c>
      <c r="X19" s="4" t="s">
        <v>341</v>
      </c>
      <c r="Y19" s="28" t="s">
        <v>122</v>
      </c>
      <c r="Z19" s="28"/>
      <c r="AA19" s="28"/>
      <c r="AB19" s="28"/>
      <c r="AC19" s="28"/>
      <c r="AD19" s="29">
        <v>23456</v>
      </c>
      <c r="AE19" s="29" t="s">
        <v>625</v>
      </c>
      <c r="AF19" s="28" t="s">
        <v>626</v>
      </c>
      <c r="AG19" s="35"/>
      <c r="AH19" s="5"/>
      <c r="AI19" s="5" t="s">
        <v>15</v>
      </c>
      <c r="AJ19" s="5"/>
      <c r="AK19" s="5"/>
      <c r="AL19" s="5"/>
      <c r="AM19" s="5"/>
      <c r="AN19" s="5"/>
      <c r="AO19" s="5"/>
      <c r="AP19" s="5"/>
      <c r="AQ19" s="5"/>
      <c r="AR19" s="5"/>
      <c r="AS19" s="5" t="s">
        <v>106</v>
      </c>
      <c r="AT19" s="5" t="s">
        <v>103</v>
      </c>
      <c r="AU19" s="5" t="s">
        <v>104</v>
      </c>
      <c r="AV19" s="5" t="s">
        <v>122</v>
      </c>
      <c r="AW19" s="5" t="s">
        <v>104</v>
      </c>
      <c r="AX19" s="11" t="s">
        <v>662</v>
      </c>
      <c r="AY19" s="12" t="s">
        <v>121</v>
      </c>
      <c r="AZ19" s="13"/>
      <c r="BA19" s="13"/>
    </row>
    <row r="20" spans="1:53" ht="20.25" customHeight="1">
      <c r="A20" s="42">
        <f t="shared" si="1"/>
        <v>17</v>
      </c>
      <c r="B20" s="4" t="s">
        <v>195</v>
      </c>
      <c r="C20" s="4" t="s">
        <v>315</v>
      </c>
      <c r="D20" s="21">
        <v>42386</v>
      </c>
      <c r="E20" s="52"/>
      <c r="F20" s="46"/>
      <c r="G20" s="4"/>
      <c r="H20" s="4" t="s">
        <v>142</v>
      </c>
      <c r="I20" s="4" t="s">
        <v>144</v>
      </c>
      <c r="J20" s="4" t="s">
        <v>144</v>
      </c>
      <c r="K20" s="4" t="s">
        <v>144</v>
      </c>
      <c r="L20" s="4" t="s">
        <v>144</v>
      </c>
      <c r="M20" s="22" t="s">
        <v>15</v>
      </c>
      <c r="N20" s="25"/>
      <c r="O20" s="25"/>
      <c r="P20" s="25" t="s">
        <v>15</v>
      </c>
      <c r="Q20" s="25"/>
      <c r="R20" s="22"/>
      <c r="S20" s="6" t="s">
        <v>33</v>
      </c>
      <c r="T20" s="4" t="s">
        <v>482</v>
      </c>
      <c r="U20" s="4" t="s">
        <v>218</v>
      </c>
      <c r="V20" s="4" t="s">
        <v>338</v>
      </c>
      <c r="W20" s="4" t="s">
        <v>222</v>
      </c>
      <c r="X20" s="4" t="s">
        <v>342</v>
      </c>
      <c r="Y20" s="28"/>
      <c r="Z20" s="28"/>
      <c r="AA20" s="28"/>
      <c r="AB20" s="28"/>
      <c r="AC20" s="28"/>
      <c r="AD20" s="29">
        <v>12345</v>
      </c>
      <c r="AE20" s="29" t="s">
        <v>624</v>
      </c>
      <c r="AF20" s="28" t="s">
        <v>627</v>
      </c>
      <c r="AG20" s="35"/>
      <c r="AH20" s="5"/>
      <c r="AI20" s="5"/>
      <c r="AJ20" s="5"/>
      <c r="AK20" s="5"/>
      <c r="AL20" s="5"/>
      <c r="AM20" s="5"/>
      <c r="AN20" s="5" t="s">
        <v>15</v>
      </c>
      <c r="AO20" s="5"/>
      <c r="AP20" s="5"/>
      <c r="AQ20" s="5"/>
      <c r="AR20" s="5"/>
      <c r="AS20" s="5" t="s">
        <v>106</v>
      </c>
      <c r="AT20" s="5" t="s">
        <v>103</v>
      </c>
      <c r="AU20" s="5" t="s">
        <v>104</v>
      </c>
      <c r="AV20" s="5"/>
      <c r="AW20" s="5" t="s">
        <v>104</v>
      </c>
      <c r="AX20" s="11" t="s">
        <v>663</v>
      </c>
      <c r="AY20" s="12" t="str">
        <f>IFERROR(VLOOKUP(MATCH(" ",AG20:AQ20,-1),'[1]erlaubte Werte'!J$2:K$13,2,0),"")</f>
        <v/>
      </c>
      <c r="AZ20" s="46"/>
      <c r="BA20" s="7"/>
    </row>
    <row r="21" spans="1:53" ht="20.25" customHeight="1">
      <c r="A21" s="42">
        <f t="shared" si="1"/>
        <v>18</v>
      </c>
      <c r="B21" s="4" t="s">
        <v>196</v>
      </c>
      <c r="C21" s="4" t="s">
        <v>316</v>
      </c>
      <c r="D21" s="21">
        <v>42387</v>
      </c>
      <c r="E21" s="52"/>
      <c r="F21" s="46"/>
      <c r="G21" s="4"/>
      <c r="H21" s="4" t="s">
        <v>143</v>
      </c>
      <c r="I21" s="4" t="s">
        <v>142</v>
      </c>
      <c r="J21" s="4" t="s">
        <v>143</v>
      </c>
      <c r="K21" s="4" t="s">
        <v>144</v>
      </c>
      <c r="L21" s="4" t="s">
        <v>144</v>
      </c>
      <c r="M21" s="22" t="s">
        <v>15</v>
      </c>
      <c r="N21" s="25"/>
      <c r="O21" s="25"/>
      <c r="P21" s="25" t="s">
        <v>15</v>
      </c>
      <c r="Q21" s="25"/>
      <c r="R21" s="22"/>
      <c r="S21" s="6" t="s">
        <v>34</v>
      </c>
      <c r="T21" s="4" t="s">
        <v>483</v>
      </c>
      <c r="U21" s="4" t="s">
        <v>219</v>
      </c>
      <c r="V21" s="4" t="s">
        <v>339</v>
      </c>
      <c r="W21" s="4" t="s">
        <v>223</v>
      </c>
      <c r="X21" s="4" t="s">
        <v>343</v>
      </c>
      <c r="Y21" s="28"/>
      <c r="Z21" s="28"/>
      <c r="AA21" s="28"/>
      <c r="AB21" s="28"/>
      <c r="AC21" s="28"/>
      <c r="AD21" s="29">
        <v>12345</v>
      </c>
      <c r="AE21" s="29" t="s">
        <v>625</v>
      </c>
      <c r="AF21" s="28" t="s">
        <v>628</v>
      </c>
      <c r="AG21" s="35" t="s">
        <v>15</v>
      </c>
      <c r="AH21" s="5"/>
      <c r="AI21" s="5"/>
      <c r="AJ21" s="5"/>
      <c r="AK21" s="5"/>
      <c r="AL21" s="5"/>
      <c r="AM21" s="5"/>
      <c r="AN21" s="5"/>
      <c r="AO21" s="5"/>
      <c r="AP21" s="5"/>
      <c r="AQ21" s="5"/>
      <c r="AR21" s="5"/>
      <c r="AS21" s="5" t="s">
        <v>106</v>
      </c>
      <c r="AT21" s="5" t="s">
        <v>108</v>
      </c>
      <c r="AU21" s="5" t="s">
        <v>104</v>
      </c>
      <c r="AV21" s="5"/>
      <c r="AW21" s="5" t="s">
        <v>104</v>
      </c>
      <c r="AX21" s="11" t="s">
        <v>664</v>
      </c>
      <c r="AY21" s="12" t="str">
        <f>IFERROR(VLOOKUP(MATCH(" ",AG21:AQ21,-1),'[1]erlaubte Werte'!J$2:K$13,2,0),"")</f>
        <v/>
      </c>
      <c r="AZ21" s="46"/>
      <c r="BA21" s="7"/>
    </row>
    <row r="22" spans="1:53" ht="20.25" customHeight="1">
      <c r="A22" s="42">
        <f t="shared" si="1"/>
        <v>19</v>
      </c>
      <c r="B22" s="4" t="s">
        <v>197</v>
      </c>
      <c r="C22" s="4" t="s">
        <v>317</v>
      </c>
      <c r="D22" s="21">
        <v>42388</v>
      </c>
      <c r="E22" s="52"/>
      <c r="F22" s="46"/>
      <c r="G22" s="4"/>
      <c r="H22" s="4" t="s">
        <v>144</v>
      </c>
      <c r="I22" s="4" t="s">
        <v>141</v>
      </c>
      <c r="J22" s="4" t="s">
        <v>142</v>
      </c>
      <c r="K22" s="4" t="s">
        <v>142</v>
      </c>
      <c r="L22" s="4" t="s">
        <v>142</v>
      </c>
      <c r="M22" s="22" t="s">
        <v>15</v>
      </c>
      <c r="N22" s="25"/>
      <c r="O22" s="25"/>
      <c r="P22" s="25"/>
      <c r="Q22" s="25" t="s">
        <v>15</v>
      </c>
      <c r="R22" s="22"/>
      <c r="S22" s="6" t="s">
        <v>35</v>
      </c>
      <c r="T22" s="4" t="s">
        <v>484</v>
      </c>
      <c r="U22" s="4" t="s">
        <v>220</v>
      </c>
      <c r="V22" s="4" t="s">
        <v>340</v>
      </c>
      <c r="W22" s="4" t="s">
        <v>224</v>
      </c>
      <c r="X22" s="4" t="s">
        <v>344</v>
      </c>
      <c r="Y22" s="28" t="s">
        <v>122</v>
      </c>
      <c r="Z22" s="28"/>
      <c r="AA22" s="28"/>
      <c r="AB22" s="28"/>
      <c r="AC22" s="28"/>
      <c r="AD22" s="29">
        <v>23456</v>
      </c>
      <c r="AE22" s="29" t="s">
        <v>624</v>
      </c>
      <c r="AF22" s="28" t="s">
        <v>629</v>
      </c>
      <c r="AG22" s="35" t="s">
        <v>15</v>
      </c>
      <c r="AH22" s="5"/>
      <c r="AI22" s="5"/>
      <c r="AJ22" s="5"/>
      <c r="AK22" s="5"/>
      <c r="AL22" s="5"/>
      <c r="AM22" s="5"/>
      <c r="AN22" s="5"/>
      <c r="AO22" s="5"/>
      <c r="AP22" s="5"/>
      <c r="AQ22" s="5"/>
      <c r="AR22" s="5"/>
      <c r="AS22" s="5" t="s">
        <v>102</v>
      </c>
      <c r="AT22" s="5" t="s">
        <v>108</v>
      </c>
      <c r="AU22" s="5" t="s">
        <v>104</v>
      </c>
      <c r="AV22" s="5" t="s">
        <v>122</v>
      </c>
      <c r="AW22" s="5" t="s">
        <v>104</v>
      </c>
      <c r="AX22" s="11" t="s">
        <v>665</v>
      </c>
      <c r="AY22" s="12" t="str">
        <f>IFERROR(VLOOKUP(MATCH(" ",AG22:AQ22,-1),'[1]erlaubte Werte'!J$2:K$13,2,0),"")</f>
        <v/>
      </c>
      <c r="AZ22" s="46"/>
      <c r="BA22" s="7"/>
    </row>
    <row r="23" spans="1:53" ht="20.25" customHeight="1">
      <c r="A23" s="42">
        <f t="shared" si="1"/>
        <v>20</v>
      </c>
      <c r="B23" s="4" t="s">
        <v>198</v>
      </c>
      <c r="C23" s="4" t="s">
        <v>318</v>
      </c>
      <c r="D23" s="21">
        <v>42389</v>
      </c>
      <c r="E23" s="67"/>
      <c r="F23" s="14"/>
      <c r="G23" s="4"/>
      <c r="H23" s="4" t="s">
        <v>144</v>
      </c>
      <c r="I23" s="4" t="s">
        <v>142</v>
      </c>
      <c r="J23" s="4" t="s">
        <v>142</v>
      </c>
      <c r="K23" s="4" t="s">
        <v>143</v>
      </c>
      <c r="L23" s="4" t="s">
        <v>143</v>
      </c>
      <c r="M23" s="22"/>
      <c r="N23" s="25" t="s">
        <v>15</v>
      </c>
      <c r="O23" s="25" t="s">
        <v>15</v>
      </c>
      <c r="P23" s="25"/>
      <c r="Q23" s="25"/>
      <c r="R23" s="22"/>
      <c r="S23" s="6" t="s">
        <v>36</v>
      </c>
      <c r="T23" s="4" t="s">
        <v>485</v>
      </c>
      <c r="U23" s="4" t="s">
        <v>221</v>
      </c>
      <c r="V23" s="4" t="s">
        <v>341</v>
      </c>
      <c r="W23" s="4" t="s">
        <v>225</v>
      </c>
      <c r="X23" s="4" t="s">
        <v>345</v>
      </c>
      <c r="Y23" s="28" t="s">
        <v>122</v>
      </c>
      <c r="Z23" s="28"/>
      <c r="AA23" s="28"/>
      <c r="AB23" s="28"/>
      <c r="AC23" s="28"/>
      <c r="AD23" s="29">
        <v>23456</v>
      </c>
      <c r="AE23" s="29" t="s">
        <v>625</v>
      </c>
      <c r="AF23" s="28" t="s">
        <v>630</v>
      </c>
      <c r="AG23" s="35"/>
      <c r="AH23" s="5"/>
      <c r="AI23" s="5"/>
      <c r="AJ23" s="5" t="s">
        <v>15</v>
      </c>
      <c r="AK23" s="5"/>
      <c r="AL23" s="5"/>
      <c r="AM23" s="5"/>
      <c r="AN23" s="5"/>
      <c r="AO23" s="5"/>
      <c r="AP23" s="5"/>
      <c r="AQ23" s="5"/>
      <c r="AR23" s="5"/>
      <c r="AS23" s="5" t="s">
        <v>102</v>
      </c>
      <c r="AT23" s="5" t="s">
        <v>103</v>
      </c>
      <c r="AU23" s="5" t="s">
        <v>104</v>
      </c>
      <c r="AV23" s="5" t="s">
        <v>122</v>
      </c>
      <c r="AW23" s="5" t="s">
        <v>104</v>
      </c>
      <c r="AX23" s="11" t="s">
        <v>666</v>
      </c>
      <c r="AY23" s="12" t="s">
        <v>121</v>
      </c>
      <c r="AZ23" s="14"/>
      <c r="BA23" s="14"/>
    </row>
    <row r="24" spans="1:53" ht="20.25" customHeight="1">
      <c r="A24" s="42">
        <f t="shared" si="1"/>
        <v>21</v>
      </c>
      <c r="B24" s="4" t="s">
        <v>199</v>
      </c>
      <c r="C24" s="4" t="s">
        <v>319</v>
      </c>
      <c r="D24" s="21">
        <v>42390</v>
      </c>
      <c r="E24" s="9" t="s">
        <v>173</v>
      </c>
      <c r="F24" s="7" t="s">
        <v>96</v>
      </c>
      <c r="G24" s="4"/>
      <c r="H24" s="4" t="s">
        <v>142</v>
      </c>
      <c r="I24" s="4" t="s">
        <v>144</v>
      </c>
      <c r="J24" s="4" t="s">
        <v>143</v>
      </c>
      <c r="K24" s="4" t="s">
        <v>143</v>
      </c>
      <c r="L24" s="4" t="s">
        <v>143</v>
      </c>
      <c r="M24" s="22"/>
      <c r="N24" s="26" t="s">
        <v>15</v>
      </c>
      <c r="O24" s="26"/>
      <c r="P24" s="26" t="s">
        <v>15</v>
      </c>
      <c r="Q24" s="26"/>
      <c r="R24" s="27"/>
      <c r="S24" s="6" t="s">
        <v>37</v>
      </c>
      <c r="T24" s="4" t="s">
        <v>486</v>
      </c>
      <c r="U24" s="4" t="s">
        <v>222</v>
      </c>
      <c r="V24" s="4" t="s">
        <v>342</v>
      </c>
      <c r="W24" s="4" t="s">
        <v>226</v>
      </c>
      <c r="X24" s="4" t="s">
        <v>346</v>
      </c>
      <c r="Y24" s="28"/>
      <c r="Z24" s="28"/>
      <c r="AA24" s="28"/>
      <c r="AB24" s="28"/>
      <c r="AC24" s="28"/>
      <c r="AD24" s="29">
        <v>12345</v>
      </c>
      <c r="AE24" s="29" t="s">
        <v>624</v>
      </c>
      <c r="AF24" s="28" t="s">
        <v>626</v>
      </c>
      <c r="AG24" s="35"/>
      <c r="AH24" s="5"/>
      <c r="AI24" s="5" t="s">
        <v>15</v>
      </c>
      <c r="AJ24" s="5"/>
      <c r="AK24" s="5"/>
      <c r="AL24" s="5"/>
      <c r="AM24" s="5"/>
      <c r="AN24" s="5"/>
      <c r="AO24" s="5"/>
      <c r="AP24" s="5"/>
      <c r="AQ24" s="5"/>
      <c r="AR24" s="5"/>
      <c r="AS24" s="5" t="s">
        <v>117</v>
      </c>
      <c r="AT24" s="5" t="s">
        <v>107</v>
      </c>
      <c r="AU24" s="5" t="s">
        <v>104</v>
      </c>
      <c r="AV24" s="5"/>
      <c r="AW24" s="5" t="s">
        <v>104</v>
      </c>
      <c r="AX24" s="11" t="s">
        <v>667</v>
      </c>
      <c r="AY24" s="12" t="str">
        <f>IFERROR(VLOOKUP(MATCH(" ",AG24:AQ24,-1),'[1]erlaubte Werte'!J$2:K$13,2,0),"")</f>
        <v/>
      </c>
      <c r="AZ24" s="7"/>
      <c r="BA24" s="7"/>
    </row>
    <row r="25" spans="1:53" s="15" customFormat="1" ht="20.25" customHeight="1">
      <c r="A25" s="42">
        <f t="shared" si="1"/>
        <v>22</v>
      </c>
      <c r="B25" s="4" t="s">
        <v>200</v>
      </c>
      <c r="C25" s="4" t="s">
        <v>320</v>
      </c>
      <c r="D25" s="21">
        <v>42391</v>
      </c>
      <c r="E25" s="42"/>
      <c r="F25" s="12"/>
      <c r="G25" s="4"/>
      <c r="H25" s="4" t="s">
        <v>141</v>
      </c>
      <c r="I25" s="4" t="s">
        <v>143</v>
      </c>
      <c r="J25" s="4" t="s">
        <v>141</v>
      </c>
      <c r="K25" s="4" t="s">
        <v>142</v>
      </c>
      <c r="L25" s="4" t="s">
        <v>141</v>
      </c>
      <c r="M25" s="22"/>
      <c r="N25" s="25" t="s">
        <v>15</v>
      </c>
      <c r="O25" s="25" t="s">
        <v>15</v>
      </c>
      <c r="P25" s="25"/>
      <c r="Q25" s="25"/>
      <c r="R25" s="22"/>
      <c r="S25" s="6" t="s">
        <v>38</v>
      </c>
      <c r="T25" s="4" t="s">
        <v>487</v>
      </c>
      <c r="U25" s="4" t="s">
        <v>223</v>
      </c>
      <c r="V25" s="4" t="s">
        <v>343</v>
      </c>
      <c r="W25" s="4" t="s">
        <v>227</v>
      </c>
      <c r="X25" s="4" t="s">
        <v>347</v>
      </c>
      <c r="Y25" s="28" t="s">
        <v>122</v>
      </c>
      <c r="Z25" s="28"/>
      <c r="AA25" s="28"/>
      <c r="AB25" s="28"/>
      <c r="AC25" s="28"/>
      <c r="AD25" s="29">
        <v>12345</v>
      </c>
      <c r="AE25" s="29" t="s">
        <v>625</v>
      </c>
      <c r="AF25" s="28" t="s">
        <v>627</v>
      </c>
      <c r="AG25" s="35"/>
      <c r="AH25" s="5"/>
      <c r="AI25" s="5" t="s">
        <v>15</v>
      </c>
      <c r="AJ25" s="5"/>
      <c r="AK25" s="5"/>
      <c r="AL25" s="5"/>
      <c r="AM25" s="5"/>
      <c r="AN25" s="5"/>
      <c r="AO25" s="5"/>
      <c r="AP25" s="5"/>
      <c r="AQ25" s="5"/>
      <c r="AR25" s="5"/>
      <c r="AS25" s="5" t="s">
        <v>102</v>
      </c>
      <c r="AT25" s="5" t="s">
        <v>107</v>
      </c>
      <c r="AU25" s="5" t="s">
        <v>104</v>
      </c>
      <c r="AV25" s="5" t="s">
        <v>122</v>
      </c>
      <c r="AW25" s="5" t="s">
        <v>104</v>
      </c>
      <c r="AX25" s="11" t="s">
        <v>668</v>
      </c>
      <c r="AY25" s="12" t="s">
        <v>121</v>
      </c>
      <c r="AZ25" s="12"/>
      <c r="BA25" s="12"/>
    </row>
    <row r="26" spans="1:53" s="15" customFormat="1" ht="20.25" customHeight="1">
      <c r="A26" s="42">
        <f t="shared" si="1"/>
        <v>23</v>
      </c>
      <c r="B26" s="4" t="s">
        <v>201</v>
      </c>
      <c r="C26" s="4" t="s">
        <v>321</v>
      </c>
      <c r="D26" s="21">
        <v>42392</v>
      </c>
      <c r="E26" s="52"/>
      <c r="F26" s="46"/>
      <c r="G26" s="4"/>
      <c r="H26" s="4" t="s">
        <v>144</v>
      </c>
      <c r="I26" s="4" t="s">
        <v>142</v>
      </c>
      <c r="J26" s="4" t="s">
        <v>143</v>
      </c>
      <c r="K26" s="4" t="s">
        <v>141</v>
      </c>
      <c r="L26" s="4" t="s">
        <v>143</v>
      </c>
      <c r="M26" s="22"/>
      <c r="N26" s="25" t="s">
        <v>15</v>
      </c>
      <c r="O26" s="25"/>
      <c r="P26" s="25" t="s">
        <v>15</v>
      </c>
      <c r="Q26" s="25"/>
      <c r="R26" s="22"/>
      <c r="S26" s="6" t="s">
        <v>39</v>
      </c>
      <c r="T26" s="4" t="s">
        <v>488</v>
      </c>
      <c r="U26" s="4" t="s">
        <v>224</v>
      </c>
      <c r="V26" s="4" t="s">
        <v>344</v>
      </c>
      <c r="W26" s="4" t="s">
        <v>228</v>
      </c>
      <c r="X26" s="4" t="s">
        <v>348</v>
      </c>
      <c r="Y26" s="28" t="s">
        <v>122</v>
      </c>
      <c r="Z26" s="28"/>
      <c r="AA26" s="28"/>
      <c r="AB26" s="28"/>
      <c r="AC26" s="28"/>
      <c r="AD26" s="29">
        <v>23456</v>
      </c>
      <c r="AE26" s="29" t="s">
        <v>624</v>
      </c>
      <c r="AF26" s="28" t="s">
        <v>628</v>
      </c>
      <c r="AG26" s="35"/>
      <c r="AH26" s="5"/>
      <c r="AI26" s="5" t="s">
        <v>15</v>
      </c>
      <c r="AJ26" s="5"/>
      <c r="AK26" s="5"/>
      <c r="AL26" s="5"/>
      <c r="AM26" s="5"/>
      <c r="AN26" s="5"/>
      <c r="AO26" s="5"/>
      <c r="AP26" s="5"/>
      <c r="AQ26" s="5"/>
      <c r="AR26" s="5"/>
      <c r="AS26" s="5" t="s">
        <v>102</v>
      </c>
      <c r="AT26" s="5" t="s">
        <v>108</v>
      </c>
      <c r="AU26" s="5" t="s">
        <v>104</v>
      </c>
      <c r="AV26" s="5" t="s">
        <v>122</v>
      </c>
      <c r="AW26" s="5" t="s">
        <v>104</v>
      </c>
      <c r="AX26" s="11" t="s">
        <v>669</v>
      </c>
      <c r="AY26" s="12" t="str">
        <f>IFERROR(VLOOKUP(MATCH(" ",AG26:AQ26,-1),'[1]erlaubte Werte'!J$2:K$13,2,0),"")</f>
        <v/>
      </c>
      <c r="AZ26" s="46"/>
      <c r="BA26" s="7"/>
    </row>
    <row r="27" spans="1:53" s="15" customFormat="1" ht="20.25" customHeight="1">
      <c r="A27" s="42">
        <f t="shared" si="1"/>
        <v>24</v>
      </c>
      <c r="B27" s="4" t="s">
        <v>202</v>
      </c>
      <c r="C27" s="4" t="s">
        <v>322</v>
      </c>
      <c r="D27" s="21">
        <v>42393</v>
      </c>
      <c r="E27" s="42"/>
      <c r="F27" s="12"/>
      <c r="G27" s="4"/>
      <c r="H27" s="4" t="s">
        <v>142</v>
      </c>
      <c r="I27" s="4" t="s">
        <v>143</v>
      </c>
      <c r="J27" s="4" t="s">
        <v>141</v>
      </c>
      <c r="K27" s="4" t="s">
        <v>141</v>
      </c>
      <c r="L27" s="4" t="s">
        <v>141</v>
      </c>
      <c r="M27" s="22" t="s">
        <v>15</v>
      </c>
      <c r="N27" s="25"/>
      <c r="O27" s="25" t="s">
        <v>15</v>
      </c>
      <c r="P27" s="25"/>
      <c r="Q27" s="25"/>
      <c r="R27" s="22"/>
      <c r="S27" s="6" t="s">
        <v>40</v>
      </c>
      <c r="T27" s="4" t="s">
        <v>489</v>
      </c>
      <c r="U27" s="4" t="s">
        <v>225</v>
      </c>
      <c r="V27" s="4" t="s">
        <v>345</v>
      </c>
      <c r="W27" s="4" t="s">
        <v>229</v>
      </c>
      <c r="X27" s="4" t="s">
        <v>349</v>
      </c>
      <c r="Y27" s="28" t="s">
        <v>122</v>
      </c>
      <c r="Z27" s="28"/>
      <c r="AA27" s="28"/>
      <c r="AB27" s="28"/>
      <c r="AC27" s="28"/>
      <c r="AD27" s="29">
        <v>23456</v>
      </c>
      <c r="AE27" s="29" t="s">
        <v>625</v>
      </c>
      <c r="AF27" s="28" t="s">
        <v>629</v>
      </c>
      <c r="AG27" s="35" t="s">
        <v>15</v>
      </c>
      <c r="AH27" s="5"/>
      <c r="AI27" s="5"/>
      <c r="AJ27" s="5"/>
      <c r="AK27" s="5"/>
      <c r="AL27" s="5"/>
      <c r="AM27" s="5"/>
      <c r="AN27" s="5"/>
      <c r="AO27" s="5"/>
      <c r="AP27" s="5"/>
      <c r="AQ27" s="5"/>
      <c r="AR27" s="5"/>
      <c r="AS27" s="5" t="s">
        <v>106</v>
      </c>
      <c r="AT27" s="5" t="s">
        <v>108</v>
      </c>
      <c r="AU27" s="5" t="s">
        <v>104</v>
      </c>
      <c r="AV27" s="5" t="s">
        <v>122</v>
      </c>
      <c r="AW27" s="5" t="s">
        <v>104</v>
      </c>
      <c r="AX27" s="11" t="s">
        <v>670</v>
      </c>
      <c r="AY27" s="12" t="s">
        <v>121</v>
      </c>
      <c r="AZ27" s="12"/>
      <c r="BA27" s="12"/>
    </row>
    <row r="28" spans="1:53" ht="20.25" customHeight="1">
      <c r="A28" s="42">
        <f t="shared" si="1"/>
        <v>25</v>
      </c>
      <c r="B28" s="4" t="s">
        <v>203</v>
      </c>
      <c r="C28" s="4" t="s">
        <v>323</v>
      </c>
      <c r="D28" s="21">
        <v>42394</v>
      </c>
      <c r="G28" s="4" t="s">
        <v>144</v>
      </c>
      <c r="H28" s="4" t="s">
        <v>144</v>
      </c>
      <c r="I28" s="4" t="s">
        <v>144</v>
      </c>
      <c r="J28" s="4" t="s">
        <v>144</v>
      </c>
      <c r="K28" s="4" t="s">
        <v>144</v>
      </c>
      <c r="L28" s="4" t="s">
        <v>144</v>
      </c>
      <c r="M28" s="22"/>
      <c r="N28" s="25" t="s">
        <v>15</v>
      </c>
      <c r="O28" s="25" t="s">
        <v>15</v>
      </c>
      <c r="P28" s="25"/>
      <c r="Q28" s="25"/>
      <c r="R28" s="22"/>
      <c r="S28" s="6" t="s">
        <v>41</v>
      </c>
      <c r="T28" s="4" t="s">
        <v>490</v>
      </c>
      <c r="U28" s="4" t="s">
        <v>226</v>
      </c>
      <c r="V28" s="4" t="s">
        <v>346</v>
      </c>
      <c r="W28" s="4" t="s">
        <v>230</v>
      </c>
      <c r="X28" s="4" t="s">
        <v>350</v>
      </c>
      <c r="Y28" s="28" t="s">
        <v>122</v>
      </c>
      <c r="Z28" s="28"/>
      <c r="AA28" s="28"/>
      <c r="AB28" s="28"/>
      <c r="AC28" s="28"/>
      <c r="AD28" s="29">
        <v>12345</v>
      </c>
      <c r="AE28" s="29" t="s">
        <v>624</v>
      </c>
      <c r="AF28" s="28" t="s">
        <v>630</v>
      </c>
      <c r="AG28" s="35"/>
      <c r="AH28" s="5" t="s">
        <v>15</v>
      </c>
      <c r="AI28" s="5"/>
      <c r="AJ28" s="5"/>
      <c r="AK28" s="5"/>
      <c r="AL28" s="5"/>
      <c r="AM28" s="5"/>
      <c r="AN28" s="5"/>
      <c r="AO28" s="5"/>
      <c r="AP28" s="5"/>
      <c r="AQ28" s="5"/>
      <c r="AR28" s="5"/>
      <c r="AS28" s="5" t="s">
        <v>106</v>
      </c>
      <c r="AT28" s="5" t="s">
        <v>103</v>
      </c>
      <c r="AU28" s="5" t="s">
        <v>104</v>
      </c>
      <c r="AV28" s="5" t="s">
        <v>122</v>
      </c>
      <c r="AW28" s="5" t="s">
        <v>104</v>
      </c>
      <c r="AX28" s="11" t="s">
        <v>671</v>
      </c>
      <c r="AY28" s="12" t="s">
        <v>121</v>
      </c>
    </row>
    <row r="29" spans="1:53" ht="20.25" customHeight="1">
      <c r="A29" s="42">
        <f t="shared" si="1"/>
        <v>26</v>
      </c>
      <c r="B29" s="4" t="s">
        <v>204</v>
      </c>
      <c r="C29" s="4" t="s">
        <v>324</v>
      </c>
      <c r="D29" s="21">
        <v>42395</v>
      </c>
      <c r="G29" s="4" t="s">
        <v>142</v>
      </c>
      <c r="H29" s="4" t="s">
        <v>142</v>
      </c>
      <c r="I29" s="4" t="s">
        <v>142</v>
      </c>
      <c r="J29" s="4" t="s">
        <v>142</v>
      </c>
      <c r="K29" s="4" t="s">
        <v>142</v>
      </c>
      <c r="L29" s="4" t="s">
        <v>142</v>
      </c>
      <c r="M29" s="22"/>
      <c r="N29" s="25" t="s">
        <v>15</v>
      </c>
      <c r="O29" s="25" t="s">
        <v>15</v>
      </c>
      <c r="P29" s="25"/>
      <c r="Q29" s="25"/>
      <c r="R29" s="22"/>
      <c r="S29" s="6" t="s">
        <v>42</v>
      </c>
      <c r="T29" s="4" t="s">
        <v>491</v>
      </c>
      <c r="U29" s="4" t="s">
        <v>227</v>
      </c>
      <c r="V29" s="4" t="s">
        <v>347</v>
      </c>
      <c r="W29" s="4" t="s">
        <v>231</v>
      </c>
      <c r="X29" s="4" t="s">
        <v>351</v>
      </c>
      <c r="Y29" s="28" t="s">
        <v>122</v>
      </c>
      <c r="Z29" s="28"/>
      <c r="AA29" s="28"/>
      <c r="AB29" s="28"/>
      <c r="AC29" s="28"/>
      <c r="AD29" s="29">
        <v>12345</v>
      </c>
      <c r="AE29" s="29" t="s">
        <v>625</v>
      </c>
      <c r="AF29" s="28" t="s">
        <v>626</v>
      </c>
      <c r="AG29" s="35"/>
      <c r="AH29" s="5" t="s">
        <v>15</v>
      </c>
      <c r="AI29" s="5"/>
      <c r="AJ29" s="5"/>
      <c r="AK29" s="5"/>
      <c r="AL29" s="5"/>
      <c r="AM29" s="5"/>
      <c r="AN29" s="5"/>
      <c r="AO29" s="5"/>
      <c r="AP29" s="5"/>
      <c r="AQ29" s="5"/>
      <c r="AR29" s="5"/>
      <c r="AS29" s="5">
        <v>4</v>
      </c>
      <c r="AT29" s="5" t="s">
        <v>103</v>
      </c>
      <c r="AU29" s="5" t="s">
        <v>104</v>
      </c>
      <c r="AV29" s="5" t="s">
        <v>129</v>
      </c>
      <c r="AW29" s="5" t="s">
        <v>104</v>
      </c>
      <c r="AX29" s="11" t="s">
        <v>672</v>
      </c>
      <c r="AY29" s="12" t="s">
        <v>121</v>
      </c>
    </row>
    <row r="30" spans="1:53" ht="20.25" customHeight="1">
      <c r="A30" s="42">
        <f t="shared" si="1"/>
        <v>27</v>
      </c>
      <c r="B30" s="4" t="s">
        <v>205</v>
      </c>
      <c r="C30" s="4" t="s">
        <v>325</v>
      </c>
      <c r="D30" s="21">
        <v>42396</v>
      </c>
      <c r="E30" s="67"/>
      <c r="F30" s="14"/>
      <c r="G30" s="4" t="s">
        <v>143</v>
      </c>
      <c r="H30" s="4" t="s">
        <v>143</v>
      </c>
      <c r="I30" s="4" t="s">
        <v>143</v>
      </c>
      <c r="J30" s="4" t="s">
        <v>143</v>
      </c>
      <c r="K30" s="4" t="s">
        <v>143</v>
      </c>
      <c r="L30" s="4" t="s">
        <v>143</v>
      </c>
      <c r="M30" s="22" t="s">
        <v>15</v>
      </c>
      <c r="N30" s="25"/>
      <c r="O30" s="25" t="s">
        <v>15</v>
      </c>
      <c r="P30" s="25"/>
      <c r="Q30" s="25"/>
      <c r="R30" s="22"/>
      <c r="S30" s="6" t="s">
        <v>43</v>
      </c>
      <c r="T30" s="4" t="s">
        <v>492</v>
      </c>
      <c r="U30" s="4" t="s">
        <v>228</v>
      </c>
      <c r="V30" s="4" t="s">
        <v>348</v>
      </c>
      <c r="W30" s="4" t="s">
        <v>232</v>
      </c>
      <c r="X30" s="4" t="s">
        <v>352</v>
      </c>
      <c r="Y30" s="28" t="s">
        <v>122</v>
      </c>
      <c r="Z30" s="28"/>
      <c r="AA30" s="28"/>
      <c r="AB30" s="28"/>
      <c r="AC30" s="28"/>
      <c r="AD30" s="29">
        <v>23456</v>
      </c>
      <c r="AE30" s="29" t="s">
        <v>624</v>
      </c>
      <c r="AF30" s="28" t="s">
        <v>627</v>
      </c>
      <c r="AG30" s="35"/>
      <c r="AH30" s="5" t="s">
        <v>109</v>
      </c>
      <c r="AI30" s="5"/>
      <c r="AJ30" s="5"/>
      <c r="AK30" s="5"/>
      <c r="AL30" s="5"/>
      <c r="AM30" s="5"/>
      <c r="AN30" s="5"/>
      <c r="AO30" s="5"/>
      <c r="AP30" s="5"/>
      <c r="AQ30" s="5"/>
      <c r="AR30" s="5"/>
      <c r="AS30" s="5">
        <v>4</v>
      </c>
      <c r="AT30" s="5" t="s">
        <v>107</v>
      </c>
      <c r="AU30" s="5" t="s">
        <v>104</v>
      </c>
      <c r="AV30" s="5" t="s">
        <v>133</v>
      </c>
      <c r="AW30" s="5" t="s">
        <v>104</v>
      </c>
      <c r="AX30" s="11" t="s">
        <v>673</v>
      </c>
      <c r="AY30" s="12" t="s">
        <v>121</v>
      </c>
      <c r="AZ30" s="14"/>
      <c r="BA30" s="14"/>
    </row>
    <row r="31" spans="1:53" ht="20.25" customHeight="1">
      <c r="A31" s="42">
        <f t="shared" si="1"/>
        <v>28</v>
      </c>
      <c r="B31" s="4" t="s">
        <v>206</v>
      </c>
      <c r="C31" s="4" t="s">
        <v>326</v>
      </c>
      <c r="D31" s="21">
        <v>42397</v>
      </c>
      <c r="G31" s="4"/>
      <c r="H31" s="4" t="s">
        <v>143</v>
      </c>
      <c r="I31" s="4" t="s">
        <v>143</v>
      </c>
      <c r="J31" s="4" t="s">
        <v>144</v>
      </c>
      <c r="K31" s="4" t="s">
        <v>144</v>
      </c>
      <c r="L31" s="4" t="s">
        <v>143</v>
      </c>
      <c r="M31" s="22" t="s">
        <v>15</v>
      </c>
      <c r="N31" s="25"/>
      <c r="O31" s="25" t="s">
        <v>15</v>
      </c>
      <c r="P31" s="25"/>
      <c r="Q31" s="25"/>
      <c r="R31" s="22"/>
      <c r="S31" s="6" t="s">
        <v>44</v>
      </c>
      <c r="T31" s="4" t="s">
        <v>493</v>
      </c>
      <c r="U31" s="4" t="s">
        <v>229</v>
      </c>
      <c r="V31" s="4" t="s">
        <v>349</v>
      </c>
      <c r="W31" s="4" t="s">
        <v>233</v>
      </c>
      <c r="X31" s="4" t="s">
        <v>353</v>
      </c>
      <c r="Y31" s="28" t="s">
        <v>122</v>
      </c>
      <c r="Z31" s="28"/>
      <c r="AA31" s="28"/>
      <c r="AB31" s="28"/>
      <c r="AC31" s="28"/>
      <c r="AD31" s="29">
        <v>23456</v>
      </c>
      <c r="AE31" s="29" t="s">
        <v>625</v>
      </c>
      <c r="AF31" s="28" t="s">
        <v>628</v>
      </c>
      <c r="AG31" s="35"/>
      <c r="AH31" s="5"/>
      <c r="AI31" s="5"/>
      <c r="AJ31" s="5"/>
      <c r="AK31" s="5" t="s">
        <v>112</v>
      </c>
      <c r="AL31" s="5"/>
      <c r="AM31" s="5"/>
      <c r="AN31" s="5"/>
      <c r="AO31" s="5"/>
      <c r="AP31" s="5"/>
      <c r="AQ31" s="5"/>
      <c r="AR31" s="5"/>
      <c r="AS31" s="5" t="s">
        <v>111</v>
      </c>
      <c r="AT31" s="5" t="s">
        <v>103</v>
      </c>
      <c r="AU31" s="5" t="s">
        <v>104</v>
      </c>
      <c r="AV31" s="5" t="s">
        <v>122</v>
      </c>
      <c r="AW31" s="5" t="s">
        <v>104</v>
      </c>
      <c r="AX31" s="11" t="s">
        <v>674</v>
      </c>
      <c r="AY31" s="12" t="s">
        <v>121</v>
      </c>
    </row>
    <row r="32" spans="1:53" ht="20.25" customHeight="1">
      <c r="A32" s="42">
        <f t="shared" si="1"/>
        <v>29</v>
      </c>
      <c r="B32" s="4" t="s">
        <v>207</v>
      </c>
      <c r="C32" s="4" t="s">
        <v>327</v>
      </c>
      <c r="D32" s="21">
        <v>42398</v>
      </c>
      <c r="E32" s="67" t="s">
        <v>173</v>
      </c>
      <c r="F32" s="14" t="s">
        <v>96</v>
      </c>
      <c r="G32" s="4"/>
      <c r="H32" s="4" t="s">
        <v>143</v>
      </c>
      <c r="I32" s="4" t="s">
        <v>142</v>
      </c>
      <c r="J32" s="4" t="s">
        <v>142</v>
      </c>
      <c r="K32" s="4" t="s">
        <v>142</v>
      </c>
      <c r="L32" s="4" t="s">
        <v>142</v>
      </c>
      <c r="M32" s="22"/>
      <c r="N32" s="25" t="s">
        <v>15</v>
      </c>
      <c r="O32" s="25" t="s">
        <v>15</v>
      </c>
      <c r="P32" s="25"/>
      <c r="Q32" s="25"/>
      <c r="R32" s="22"/>
      <c r="S32" s="6" t="s">
        <v>45</v>
      </c>
      <c r="T32" s="4" t="s">
        <v>494</v>
      </c>
      <c r="U32" s="4" t="s">
        <v>230</v>
      </c>
      <c r="V32" s="4" t="s">
        <v>350</v>
      </c>
      <c r="W32" s="4" t="s">
        <v>234</v>
      </c>
      <c r="X32" s="4" t="s">
        <v>354</v>
      </c>
      <c r="Y32" s="28" t="s">
        <v>122</v>
      </c>
      <c r="Z32" s="28"/>
      <c r="AA32" s="28"/>
      <c r="AB32" s="28"/>
      <c r="AC32" s="28"/>
      <c r="AD32" s="29">
        <v>12345</v>
      </c>
      <c r="AE32" s="29" t="s">
        <v>624</v>
      </c>
      <c r="AF32" s="28" t="s">
        <v>629</v>
      </c>
      <c r="AG32" s="35"/>
      <c r="AH32" s="5" t="s">
        <v>110</v>
      </c>
      <c r="AI32" s="5"/>
      <c r="AJ32" s="5"/>
      <c r="AK32" s="5"/>
      <c r="AL32" s="5"/>
      <c r="AM32" s="5"/>
      <c r="AN32" s="5"/>
      <c r="AO32" s="5"/>
      <c r="AP32" s="5"/>
      <c r="AQ32" s="5"/>
      <c r="AR32" s="5"/>
      <c r="AS32" s="5">
        <v>4</v>
      </c>
      <c r="AT32" s="5" t="s">
        <v>103</v>
      </c>
      <c r="AU32" s="5" t="s">
        <v>104</v>
      </c>
      <c r="AV32" s="5" t="s">
        <v>122</v>
      </c>
      <c r="AW32" s="5" t="s">
        <v>104</v>
      </c>
      <c r="AX32" s="11" t="s">
        <v>675</v>
      </c>
      <c r="AY32" s="12" t="s">
        <v>121</v>
      </c>
      <c r="AZ32" s="14"/>
      <c r="BA32" s="14"/>
    </row>
    <row r="33" spans="1:53" ht="20.25" customHeight="1">
      <c r="A33" s="42">
        <f t="shared" si="1"/>
        <v>30</v>
      </c>
      <c r="B33" s="4" t="s">
        <v>208</v>
      </c>
      <c r="C33" s="4" t="s">
        <v>328</v>
      </c>
      <c r="D33" s="21">
        <v>42399</v>
      </c>
      <c r="E33" s="52"/>
      <c r="F33" s="46"/>
      <c r="G33" s="4" t="s">
        <v>141</v>
      </c>
      <c r="H33" s="4" t="s">
        <v>141</v>
      </c>
      <c r="I33" s="4" t="s">
        <v>141</v>
      </c>
      <c r="J33" s="4" t="s">
        <v>141</v>
      </c>
      <c r="K33" s="4" t="s">
        <v>141</v>
      </c>
      <c r="L33" s="4" t="s">
        <v>141</v>
      </c>
      <c r="M33" s="22" t="s">
        <v>15</v>
      </c>
      <c r="N33" s="25"/>
      <c r="O33" s="25"/>
      <c r="P33" s="25" t="s">
        <v>15</v>
      </c>
      <c r="Q33" s="25"/>
      <c r="R33" s="22"/>
      <c r="S33" s="6" t="s">
        <v>46</v>
      </c>
      <c r="T33" s="4" t="s">
        <v>495</v>
      </c>
      <c r="U33" s="4" t="s">
        <v>231</v>
      </c>
      <c r="V33" s="4" t="s">
        <v>351</v>
      </c>
      <c r="W33" s="4" t="s">
        <v>235</v>
      </c>
      <c r="X33" s="4" t="s">
        <v>355</v>
      </c>
      <c r="Y33" s="28" t="s">
        <v>467</v>
      </c>
      <c r="Z33" s="28"/>
      <c r="AA33" s="28"/>
      <c r="AB33" s="28"/>
      <c r="AC33" s="28"/>
      <c r="AD33" s="29">
        <v>12345</v>
      </c>
      <c r="AE33" s="29" t="s">
        <v>625</v>
      </c>
      <c r="AF33" s="28" t="s">
        <v>630</v>
      </c>
      <c r="AG33" s="35" t="s">
        <v>15</v>
      </c>
      <c r="AH33" s="5"/>
      <c r="AI33" s="5"/>
      <c r="AJ33" s="5"/>
      <c r="AK33" s="5"/>
      <c r="AL33" s="5"/>
      <c r="AM33" s="5"/>
      <c r="AN33" s="5"/>
      <c r="AO33" s="5"/>
      <c r="AP33" s="5"/>
      <c r="AQ33" s="5"/>
      <c r="AR33" s="5"/>
      <c r="AS33" s="5" t="s">
        <v>106</v>
      </c>
      <c r="AT33" s="5" t="s">
        <v>108</v>
      </c>
      <c r="AU33" s="5" t="s">
        <v>104</v>
      </c>
      <c r="AV33" s="5"/>
      <c r="AW33" s="5" t="s">
        <v>104</v>
      </c>
      <c r="AX33" s="11" t="s">
        <v>676</v>
      </c>
      <c r="AY33" s="12" t="str">
        <f>IFERROR(VLOOKUP(MATCH(" ",AG33:AQ33,-1),'[1]erlaubte Werte'!J$2:K$13,2,0),"")</f>
        <v/>
      </c>
      <c r="AZ33" s="46"/>
      <c r="BA33" s="7"/>
    </row>
    <row r="34" spans="1:53" s="14" customFormat="1" ht="20.25" customHeight="1">
      <c r="A34" s="42">
        <f t="shared" si="1"/>
        <v>31</v>
      </c>
      <c r="B34" s="4" t="s">
        <v>209</v>
      </c>
      <c r="C34" s="4" t="s">
        <v>329</v>
      </c>
      <c r="D34" s="21">
        <v>42400</v>
      </c>
      <c r="E34" s="67"/>
      <c r="G34" s="4" t="s">
        <v>141</v>
      </c>
      <c r="H34" s="4" t="s">
        <v>141</v>
      </c>
      <c r="I34" s="4" t="s">
        <v>141</v>
      </c>
      <c r="J34" s="4" t="s">
        <v>141</v>
      </c>
      <c r="K34" s="4" t="s">
        <v>141</v>
      </c>
      <c r="L34" s="4" t="s">
        <v>141</v>
      </c>
      <c r="M34" s="22" t="s">
        <v>15</v>
      </c>
      <c r="N34" s="25"/>
      <c r="O34" s="25" t="s">
        <v>15</v>
      </c>
      <c r="P34" s="25"/>
      <c r="Q34" s="25"/>
      <c r="R34" s="22"/>
      <c r="S34" s="6" t="s">
        <v>47</v>
      </c>
      <c r="T34" s="4" t="s">
        <v>496</v>
      </c>
      <c r="U34" s="4" t="s">
        <v>232</v>
      </c>
      <c r="V34" s="4" t="s">
        <v>352</v>
      </c>
      <c r="W34" s="4" t="s">
        <v>236</v>
      </c>
      <c r="X34" s="4" t="s">
        <v>356</v>
      </c>
      <c r="Y34" s="28" t="s">
        <v>122</v>
      </c>
      <c r="Z34" s="28"/>
      <c r="AA34" s="28"/>
      <c r="AB34" s="28"/>
      <c r="AC34" s="28"/>
      <c r="AD34" s="29">
        <v>23456</v>
      </c>
      <c r="AE34" s="29" t="s">
        <v>624</v>
      </c>
      <c r="AF34" s="28" t="s">
        <v>626</v>
      </c>
      <c r="AG34" s="35"/>
      <c r="AH34" s="5"/>
      <c r="AI34" s="5"/>
      <c r="AJ34" s="5" t="s">
        <v>15</v>
      </c>
      <c r="AK34" s="5"/>
      <c r="AL34" s="5"/>
      <c r="AM34" s="5"/>
      <c r="AN34" s="5"/>
      <c r="AO34" s="5"/>
      <c r="AP34" s="5"/>
      <c r="AQ34" s="5"/>
      <c r="AR34" s="5"/>
      <c r="AS34" s="5" t="s">
        <v>102</v>
      </c>
      <c r="AT34" s="5" t="s">
        <v>108</v>
      </c>
      <c r="AU34" s="5" t="s">
        <v>104</v>
      </c>
      <c r="AV34" s="5" t="s">
        <v>122</v>
      </c>
      <c r="AW34" s="5" t="s">
        <v>104</v>
      </c>
      <c r="AX34" s="11" t="s">
        <v>677</v>
      </c>
      <c r="AY34" s="12" t="s">
        <v>121</v>
      </c>
    </row>
    <row r="35" spans="1:53" s="14" customFormat="1" ht="20.25" customHeight="1">
      <c r="A35" s="42">
        <f t="shared" si="1"/>
        <v>32</v>
      </c>
      <c r="B35" s="4" t="s">
        <v>210</v>
      </c>
      <c r="C35" s="4" t="s">
        <v>330</v>
      </c>
      <c r="D35" s="21">
        <v>42401</v>
      </c>
      <c r="E35" s="52"/>
      <c r="F35" s="46"/>
      <c r="G35" s="4" t="s">
        <v>141</v>
      </c>
      <c r="H35" s="4" t="s">
        <v>141</v>
      </c>
      <c r="I35" s="4" t="s">
        <v>141</v>
      </c>
      <c r="J35" s="4" t="s">
        <v>141</v>
      </c>
      <c r="K35" s="4" t="s">
        <v>141</v>
      </c>
      <c r="L35" s="4" t="s">
        <v>141</v>
      </c>
      <c r="M35" s="22" t="s">
        <v>15</v>
      </c>
      <c r="N35" s="25"/>
      <c r="O35" s="25"/>
      <c r="P35" s="25"/>
      <c r="Q35" s="25" t="s">
        <v>15</v>
      </c>
      <c r="R35" s="22"/>
      <c r="S35" s="6" t="s">
        <v>48</v>
      </c>
      <c r="T35" s="4" t="s">
        <v>497</v>
      </c>
      <c r="U35" s="4" t="s">
        <v>233</v>
      </c>
      <c r="V35" s="4" t="s">
        <v>353</v>
      </c>
      <c r="W35" s="4" t="s">
        <v>237</v>
      </c>
      <c r="X35" s="4" t="s">
        <v>357</v>
      </c>
      <c r="Y35" s="28"/>
      <c r="Z35" s="28"/>
      <c r="AA35" s="28"/>
      <c r="AB35" s="28"/>
      <c r="AC35" s="28"/>
      <c r="AD35" s="29">
        <v>23456</v>
      </c>
      <c r="AE35" s="29" t="s">
        <v>625</v>
      </c>
      <c r="AF35" s="28" t="s">
        <v>627</v>
      </c>
      <c r="AG35" s="35"/>
      <c r="AH35" s="5"/>
      <c r="AI35" s="5"/>
      <c r="AJ35" s="5" t="s">
        <v>15</v>
      </c>
      <c r="AK35" s="5"/>
      <c r="AL35" s="5"/>
      <c r="AM35" s="5"/>
      <c r="AN35" s="5"/>
      <c r="AO35" s="5"/>
      <c r="AP35" s="5"/>
      <c r="AQ35" s="5"/>
      <c r="AR35" s="5"/>
      <c r="AS35" s="5" t="s">
        <v>117</v>
      </c>
      <c r="AT35" s="5" t="s">
        <v>107</v>
      </c>
      <c r="AU35" s="5" t="s">
        <v>104</v>
      </c>
      <c r="AV35" s="5" t="s">
        <v>125</v>
      </c>
      <c r="AW35" s="5" t="s">
        <v>104</v>
      </c>
      <c r="AX35" s="11" t="s">
        <v>678</v>
      </c>
      <c r="AY35" s="12" t="str">
        <f>IFERROR(VLOOKUP(MATCH(" ",AG35:AQ35,-1),'[1]erlaubte Werte'!J$2:K$13,2,0),"")</f>
        <v/>
      </c>
      <c r="AZ35" s="46"/>
      <c r="BA35" s="7"/>
    </row>
    <row r="36" spans="1:53" s="14" customFormat="1" ht="20.25" customHeight="1">
      <c r="A36" s="42">
        <f t="shared" ref="A36:A67" si="2">ROW(B36)-3</f>
        <v>33</v>
      </c>
      <c r="B36" s="4" t="s">
        <v>211</v>
      </c>
      <c r="C36" s="4" t="s">
        <v>331</v>
      </c>
      <c r="D36" s="21">
        <v>42402</v>
      </c>
      <c r="E36" s="67"/>
      <c r="G36" s="4"/>
      <c r="H36" s="4" t="s">
        <v>141</v>
      </c>
      <c r="I36" s="4" t="s">
        <v>141</v>
      </c>
      <c r="J36" s="4" t="s">
        <v>144</v>
      </c>
      <c r="K36" s="4" t="s">
        <v>144</v>
      </c>
      <c r="L36" s="4" t="s">
        <v>144</v>
      </c>
      <c r="M36" s="22"/>
      <c r="N36" s="25" t="s">
        <v>15</v>
      </c>
      <c r="O36" s="25" t="s">
        <v>15</v>
      </c>
      <c r="P36" s="25"/>
      <c r="Q36" s="25"/>
      <c r="R36" s="22"/>
      <c r="S36" s="6" t="s">
        <v>49</v>
      </c>
      <c r="T36" s="4" t="s">
        <v>498</v>
      </c>
      <c r="U36" s="4" t="s">
        <v>234</v>
      </c>
      <c r="V36" s="4" t="s">
        <v>354</v>
      </c>
      <c r="W36" s="4" t="s">
        <v>238</v>
      </c>
      <c r="X36" s="4" t="s">
        <v>358</v>
      </c>
      <c r="Y36" s="28" t="s">
        <v>122</v>
      </c>
      <c r="Z36" s="28"/>
      <c r="AA36" s="28"/>
      <c r="AB36" s="28"/>
      <c r="AC36" s="28"/>
      <c r="AD36" s="29">
        <v>12345</v>
      </c>
      <c r="AE36" s="29" t="s">
        <v>624</v>
      </c>
      <c r="AF36" s="28" t="s">
        <v>628</v>
      </c>
      <c r="AG36" s="35"/>
      <c r="AH36" s="5" t="s">
        <v>15</v>
      </c>
      <c r="AI36" s="5"/>
      <c r="AJ36" s="5"/>
      <c r="AK36" s="5"/>
      <c r="AL36" s="5"/>
      <c r="AM36" s="5"/>
      <c r="AN36" s="5"/>
      <c r="AO36" s="5"/>
      <c r="AP36" s="5"/>
      <c r="AQ36" s="5"/>
      <c r="AR36" s="5"/>
      <c r="AS36" s="5">
        <v>4</v>
      </c>
      <c r="AT36" s="5" t="s">
        <v>103</v>
      </c>
      <c r="AU36" s="5" t="s">
        <v>104</v>
      </c>
      <c r="AV36" s="5" t="s">
        <v>122</v>
      </c>
      <c r="AW36" s="5" t="s">
        <v>104</v>
      </c>
      <c r="AX36" s="11" t="s">
        <v>679</v>
      </c>
      <c r="AY36" s="12" t="s">
        <v>121</v>
      </c>
    </row>
    <row r="37" spans="1:53" s="13" customFormat="1" ht="20.25" customHeight="1">
      <c r="A37" s="42">
        <f t="shared" si="2"/>
        <v>34</v>
      </c>
      <c r="B37" s="4" t="s">
        <v>212</v>
      </c>
      <c r="C37" s="4" t="s">
        <v>332</v>
      </c>
      <c r="D37" s="21">
        <v>42403</v>
      </c>
      <c r="E37" s="67"/>
      <c r="F37" s="14"/>
      <c r="G37" s="4"/>
      <c r="H37" s="4" t="s">
        <v>141</v>
      </c>
      <c r="I37" s="4" t="s">
        <v>144</v>
      </c>
      <c r="J37" s="4" t="s">
        <v>143</v>
      </c>
      <c r="K37" s="4" t="s">
        <v>143</v>
      </c>
      <c r="L37" s="4" t="s">
        <v>144</v>
      </c>
      <c r="M37" s="22"/>
      <c r="N37" s="25" t="s">
        <v>15</v>
      </c>
      <c r="O37" s="25" t="s">
        <v>15</v>
      </c>
      <c r="P37" s="25"/>
      <c r="Q37" s="25"/>
      <c r="R37" s="22"/>
      <c r="S37" s="6" t="s">
        <v>50</v>
      </c>
      <c r="T37" s="4" t="s">
        <v>499</v>
      </c>
      <c r="U37" s="4" t="s">
        <v>235</v>
      </c>
      <c r="V37" s="4" t="s">
        <v>355</v>
      </c>
      <c r="W37" s="4" t="s">
        <v>239</v>
      </c>
      <c r="X37" s="4" t="s">
        <v>359</v>
      </c>
      <c r="Y37" s="28" t="s">
        <v>122</v>
      </c>
      <c r="Z37" s="28"/>
      <c r="AA37" s="28"/>
      <c r="AB37" s="28"/>
      <c r="AC37" s="28"/>
      <c r="AD37" s="29">
        <v>12345</v>
      </c>
      <c r="AE37" s="29" t="s">
        <v>625</v>
      </c>
      <c r="AF37" s="28" t="s">
        <v>629</v>
      </c>
      <c r="AG37" s="35"/>
      <c r="AH37" s="5" t="s">
        <v>15</v>
      </c>
      <c r="AI37" s="5"/>
      <c r="AJ37" s="5"/>
      <c r="AK37" s="5"/>
      <c r="AL37" s="5"/>
      <c r="AM37" s="5"/>
      <c r="AN37" s="5"/>
      <c r="AO37" s="5"/>
      <c r="AP37" s="5"/>
      <c r="AQ37" s="5"/>
      <c r="AR37" s="5"/>
      <c r="AS37" s="5" t="s">
        <v>111</v>
      </c>
      <c r="AT37" s="5" t="s">
        <v>103</v>
      </c>
      <c r="AU37" s="5" t="s">
        <v>104</v>
      </c>
      <c r="AV37" s="5" t="s">
        <v>122</v>
      </c>
      <c r="AW37" s="5" t="s">
        <v>104</v>
      </c>
      <c r="AX37" s="11" t="s">
        <v>680</v>
      </c>
      <c r="AY37" s="12" t="s">
        <v>121</v>
      </c>
      <c r="AZ37" s="14"/>
      <c r="BA37" s="14"/>
    </row>
    <row r="38" spans="1:53" s="14" customFormat="1" ht="20.25" customHeight="1">
      <c r="A38" s="42">
        <f t="shared" si="2"/>
        <v>35</v>
      </c>
      <c r="B38" s="4" t="s">
        <v>213</v>
      </c>
      <c r="C38" s="4" t="s">
        <v>333</v>
      </c>
      <c r="D38" s="21">
        <v>42404</v>
      </c>
      <c r="E38" s="67"/>
      <c r="G38" s="4"/>
      <c r="H38" s="4" t="s">
        <v>144</v>
      </c>
      <c r="I38" s="4" t="s">
        <v>144</v>
      </c>
      <c r="J38" s="4" t="s">
        <v>143</v>
      </c>
      <c r="K38" s="4" t="s">
        <v>143</v>
      </c>
      <c r="L38" s="4" t="s">
        <v>142</v>
      </c>
      <c r="M38" s="22"/>
      <c r="N38" s="25" t="s">
        <v>15</v>
      </c>
      <c r="O38" s="25" t="s">
        <v>15</v>
      </c>
      <c r="P38" s="25"/>
      <c r="Q38" s="25"/>
      <c r="R38" s="22"/>
      <c r="S38" s="6" t="s">
        <v>51</v>
      </c>
      <c r="T38" s="4" t="s">
        <v>500</v>
      </c>
      <c r="U38" s="4" t="s">
        <v>236</v>
      </c>
      <c r="V38" s="4" t="s">
        <v>356</v>
      </c>
      <c r="W38" s="4" t="s">
        <v>240</v>
      </c>
      <c r="X38" s="4" t="s">
        <v>360</v>
      </c>
      <c r="Y38" s="28" t="s">
        <v>122</v>
      </c>
      <c r="Z38" s="28"/>
      <c r="AA38" s="28"/>
      <c r="AB38" s="28"/>
      <c r="AC38" s="28"/>
      <c r="AD38" s="29">
        <v>23456</v>
      </c>
      <c r="AE38" s="29" t="s">
        <v>624</v>
      </c>
      <c r="AF38" s="28" t="s">
        <v>630</v>
      </c>
      <c r="AG38" s="35"/>
      <c r="AH38" s="5"/>
      <c r="AI38" s="5" t="s">
        <v>15</v>
      </c>
      <c r="AJ38" s="5"/>
      <c r="AK38" s="5"/>
      <c r="AL38" s="5"/>
      <c r="AM38" s="5"/>
      <c r="AN38" s="5"/>
      <c r="AO38" s="5"/>
      <c r="AP38" s="5"/>
      <c r="AQ38" s="5"/>
      <c r="AR38" s="5"/>
      <c r="AS38" s="5" t="s">
        <v>106</v>
      </c>
      <c r="AT38" s="5" t="s">
        <v>103</v>
      </c>
      <c r="AU38" s="5" t="s">
        <v>104</v>
      </c>
      <c r="AV38" s="5" t="s">
        <v>122</v>
      </c>
      <c r="AW38" s="5" t="s">
        <v>104</v>
      </c>
      <c r="AX38" s="11" t="s">
        <v>681</v>
      </c>
      <c r="AY38" s="12" t="s">
        <v>121</v>
      </c>
    </row>
    <row r="39" spans="1:53" s="14" customFormat="1" ht="20.25" customHeight="1">
      <c r="A39" s="42">
        <f t="shared" si="2"/>
        <v>36</v>
      </c>
      <c r="B39" s="4" t="s">
        <v>214</v>
      </c>
      <c r="C39" s="4" t="s">
        <v>334</v>
      </c>
      <c r="D39" s="21">
        <v>42405</v>
      </c>
      <c r="E39" s="52"/>
      <c r="F39" s="46"/>
      <c r="G39" s="4"/>
      <c r="H39" s="4" t="s">
        <v>142</v>
      </c>
      <c r="I39" s="4" t="s">
        <v>144</v>
      </c>
      <c r="J39" s="4" t="s">
        <v>141</v>
      </c>
      <c r="K39" s="4" t="s">
        <v>141</v>
      </c>
      <c r="L39" s="4" t="s">
        <v>141</v>
      </c>
      <c r="M39" s="22" t="s">
        <v>15</v>
      </c>
      <c r="N39" s="23"/>
      <c r="O39" s="23"/>
      <c r="P39" s="23" t="s">
        <v>15</v>
      </c>
      <c r="Q39" s="23"/>
      <c r="R39" s="24"/>
      <c r="S39" s="6" t="s">
        <v>52</v>
      </c>
      <c r="T39" s="4" t="s">
        <v>501</v>
      </c>
      <c r="U39" s="4" t="s">
        <v>237</v>
      </c>
      <c r="V39" s="4" t="s">
        <v>357</v>
      </c>
      <c r="W39" s="4" t="s">
        <v>241</v>
      </c>
      <c r="X39" s="4" t="s">
        <v>361</v>
      </c>
      <c r="Y39" s="28" t="s">
        <v>468</v>
      </c>
      <c r="Z39" s="28"/>
      <c r="AA39" s="28"/>
      <c r="AB39" s="28"/>
      <c r="AC39" s="28"/>
      <c r="AD39" s="29">
        <v>23456</v>
      </c>
      <c r="AE39" s="29" t="s">
        <v>625</v>
      </c>
      <c r="AF39" s="28" t="s">
        <v>626</v>
      </c>
      <c r="AG39" s="35" t="s">
        <v>15</v>
      </c>
      <c r="AH39" s="5"/>
      <c r="AI39" s="5"/>
      <c r="AJ39" s="5"/>
      <c r="AK39" s="5"/>
      <c r="AL39" s="5"/>
      <c r="AM39" s="5"/>
      <c r="AN39" s="5"/>
      <c r="AO39" s="5"/>
      <c r="AP39" s="5"/>
      <c r="AQ39" s="5"/>
      <c r="AR39" s="5"/>
      <c r="AS39" s="5" t="s">
        <v>117</v>
      </c>
      <c r="AT39" s="5" t="s">
        <v>108</v>
      </c>
      <c r="AU39" s="5" t="s">
        <v>104</v>
      </c>
      <c r="AV39" s="5"/>
      <c r="AW39" s="5" t="s">
        <v>104</v>
      </c>
      <c r="AX39" s="11" t="s">
        <v>682</v>
      </c>
      <c r="AY39" s="12" t="str">
        <f>IFERROR(VLOOKUP(MATCH(" ",AG39:AQ39,-1),'[1]erlaubte Werte'!J$2:K$13,2,0),"")</f>
        <v/>
      </c>
      <c r="AZ39" s="46"/>
      <c r="BA39" s="7"/>
    </row>
    <row r="40" spans="1:53" s="14" customFormat="1" ht="20.25" customHeight="1">
      <c r="A40" s="42">
        <f t="shared" si="2"/>
        <v>37</v>
      </c>
      <c r="B40" s="4" t="s">
        <v>215</v>
      </c>
      <c r="C40" s="4" t="s">
        <v>335</v>
      </c>
      <c r="D40" s="21">
        <v>42406</v>
      </c>
      <c r="E40" s="52"/>
      <c r="F40" s="46"/>
      <c r="G40" s="4"/>
      <c r="H40" s="4" t="s">
        <v>144</v>
      </c>
      <c r="I40" s="4" t="s">
        <v>143</v>
      </c>
      <c r="J40" s="4" t="s">
        <v>142</v>
      </c>
      <c r="K40" s="4" t="s">
        <v>142</v>
      </c>
      <c r="L40" s="4" t="s">
        <v>142</v>
      </c>
      <c r="M40" s="22" t="s">
        <v>15</v>
      </c>
      <c r="N40" s="25"/>
      <c r="O40" s="25"/>
      <c r="P40" s="25" t="s">
        <v>15</v>
      </c>
      <c r="Q40" s="25"/>
      <c r="R40" s="22"/>
      <c r="S40" s="6" t="s">
        <v>53</v>
      </c>
      <c r="T40" s="4" t="s">
        <v>502</v>
      </c>
      <c r="U40" s="4" t="s">
        <v>238</v>
      </c>
      <c r="V40" s="4" t="s">
        <v>358</v>
      </c>
      <c r="W40" s="4" t="s">
        <v>242</v>
      </c>
      <c r="X40" s="4" t="s">
        <v>362</v>
      </c>
      <c r="Y40" s="28" t="s">
        <v>122</v>
      </c>
      <c r="Z40" s="28"/>
      <c r="AA40" s="28"/>
      <c r="AB40" s="28"/>
      <c r="AC40" s="28"/>
      <c r="AD40" s="29">
        <v>12345</v>
      </c>
      <c r="AE40" s="29" t="s">
        <v>624</v>
      </c>
      <c r="AF40" s="28" t="s">
        <v>627</v>
      </c>
      <c r="AG40" s="35" t="s">
        <v>15</v>
      </c>
      <c r="AH40" s="5"/>
      <c r="AI40" s="5"/>
      <c r="AJ40" s="5"/>
      <c r="AK40" s="5"/>
      <c r="AL40" s="5"/>
      <c r="AM40" s="5"/>
      <c r="AN40" s="5"/>
      <c r="AO40" s="5"/>
      <c r="AP40" s="5"/>
      <c r="AQ40" s="5"/>
      <c r="AR40" s="5"/>
      <c r="AS40" s="5" t="s">
        <v>102</v>
      </c>
      <c r="AT40" s="5" t="s">
        <v>108</v>
      </c>
      <c r="AU40" s="5" t="s">
        <v>104</v>
      </c>
      <c r="AV40" s="5" t="s">
        <v>122</v>
      </c>
      <c r="AW40" s="5" t="s">
        <v>104</v>
      </c>
      <c r="AX40" s="11" t="s">
        <v>683</v>
      </c>
      <c r="AY40" s="12" t="str">
        <f>IFERROR(VLOOKUP(MATCH(" ",AG40:AQ40,-1),'[1]erlaubte Werte'!J$2:K$13,2,0),"")</f>
        <v/>
      </c>
      <c r="AZ40" s="46"/>
      <c r="BA40" s="7"/>
    </row>
    <row r="41" spans="1:53" s="14" customFormat="1" ht="20.25" customHeight="1">
      <c r="A41" s="42">
        <f t="shared" si="2"/>
        <v>38</v>
      </c>
      <c r="B41" s="4" t="s">
        <v>216</v>
      </c>
      <c r="C41" s="4" t="s">
        <v>336</v>
      </c>
      <c r="D41" s="21">
        <v>42407</v>
      </c>
      <c r="E41" s="42"/>
      <c r="F41" s="12"/>
      <c r="G41" s="4"/>
      <c r="H41" s="4" t="s">
        <v>142</v>
      </c>
      <c r="I41" s="4" t="s">
        <v>141</v>
      </c>
      <c r="J41" s="4" t="s">
        <v>144</v>
      </c>
      <c r="K41" s="4" t="s">
        <v>144</v>
      </c>
      <c r="L41" s="4" t="s">
        <v>144</v>
      </c>
      <c r="M41" s="22" t="s">
        <v>15</v>
      </c>
      <c r="N41" s="25"/>
      <c r="O41" s="25" t="s">
        <v>15</v>
      </c>
      <c r="P41" s="25"/>
      <c r="Q41" s="25"/>
      <c r="R41" s="22"/>
      <c r="S41" s="6" t="s">
        <v>54</v>
      </c>
      <c r="T41" s="4" t="s">
        <v>503</v>
      </c>
      <c r="U41" s="4" t="s">
        <v>239</v>
      </c>
      <c r="V41" s="4" t="s">
        <v>359</v>
      </c>
      <c r="W41" s="4" t="s">
        <v>243</v>
      </c>
      <c r="X41" s="4" t="s">
        <v>363</v>
      </c>
      <c r="Y41" s="28" t="s">
        <v>122</v>
      </c>
      <c r="Z41" s="28"/>
      <c r="AA41" s="28"/>
      <c r="AB41" s="28"/>
      <c r="AC41" s="28"/>
      <c r="AD41" s="29">
        <v>12345</v>
      </c>
      <c r="AE41" s="29" t="s">
        <v>625</v>
      </c>
      <c r="AF41" s="28" t="s">
        <v>628</v>
      </c>
      <c r="AG41" s="35" t="s">
        <v>15</v>
      </c>
      <c r="AH41" s="5"/>
      <c r="AI41" s="5"/>
      <c r="AJ41" s="5"/>
      <c r="AK41" s="5"/>
      <c r="AL41" s="5"/>
      <c r="AM41" s="5"/>
      <c r="AN41" s="5"/>
      <c r="AO41" s="5"/>
      <c r="AP41" s="5"/>
      <c r="AQ41" s="5"/>
      <c r="AR41" s="5"/>
      <c r="AS41" s="5" t="s">
        <v>102</v>
      </c>
      <c r="AT41" s="5" t="s">
        <v>108</v>
      </c>
      <c r="AU41" s="5" t="s">
        <v>104</v>
      </c>
      <c r="AV41" s="5" t="s">
        <v>122</v>
      </c>
      <c r="AW41" s="5" t="s">
        <v>115</v>
      </c>
      <c r="AX41" s="11" t="s">
        <v>684</v>
      </c>
      <c r="AY41" s="12" t="s">
        <v>121</v>
      </c>
      <c r="AZ41" s="12"/>
      <c r="BA41" s="12"/>
    </row>
    <row r="42" spans="1:53" s="14" customFormat="1" ht="20.25" customHeight="1">
      <c r="A42" s="42">
        <f t="shared" si="2"/>
        <v>39</v>
      </c>
      <c r="B42" s="4" t="s">
        <v>217</v>
      </c>
      <c r="C42" s="4" t="s">
        <v>337</v>
      </c>
      <c r="D42" s="21">
        <v>42408</v>
      </c>
      <c r="E42" s="68"/>
      <c r="F42" s="45"/>
      <c r="G42" s="4"/>
      <c r="H42" s="4" t="s">
        <v>143</v>
      </c>
      <c r="I42" s="4" t="s">
        <v>142</v>
      </c>
      <c r="J42" s="4" t="s">
        <v>142</v>
      </c>
      <c r="K42" s="4" t="s">
        <v>142</v>
      </c>
      <c r="L42" s="4" t="s">
        <v>142</v>
      </c>
      <c r="M42" s="22"/>
      <c r="N42" s="25" t="s">
        <v>15</v>
      </c>
      <c r="O42" s="25"/>
      <c r="P42" s="25"/>
      <c r="Q42" s="25" t="s">
        <v>15</v>
      </c>
      <c r="R42" s="22"/>
      <c r="S42" s="6" t="s">
        <v>55</v>
      </c>
      <c r="T42" s="4" t="s">
        <v>504</v>
      </c>
      <c r="U42" s="4" t="s">
        <v>240</v>
      </c>
      <c r="V42" s="4" t="s">
        <v>360</v>
      </c>
      <c r="W42" s="4" t="s">
        <v>244</v>
      </c>
      <c r="X42" s="4" t="s">
        <v>364</v>
      </c>
      <c r="Y42" s="28"/>
      <c r="Z42" s="28"/>
      <c r="AA42" s="28"/>
      <c r="AB42" s="28"/>
      <c r="AC42" s="28"/>
      <c r="AD42" s="29">
        <v>23456</v>
      </c>
      <c r="AE42" s="29" t="s">
        <v>624</v>
      </c>
      <c r="AF42" s="28" t="s">
        <v>629</v>
      </c>
      <c r="AG42" s="35"/>
      <c r="AH42" s="5"/>
      <c r="AI42" s="5"/>
      <c r="AJ42" s="5" t="s">
        <v>15</v>
      </c>
      <c r="AK42" s="5"/>
      <c r="AL42" s="5"/>
      <c r="AM42" s="5"/>
      <c r="AN42" s="5"/>
      <c r="AO42" s="5"/>
      <c r="AP42" s="5"/>
      <c r="AQ42" s="5"/>
      <c r="AR42" s="5"/>
      <c r="AS42" s="5" t="s">
        <v>117</v>
      </c>
      <c r="AT42" s="5" t="s">
        <v>103</v>
      </c>
      <c r="AU42" s="5" t="s">
        <v>104</v>
      </c>
      <c r="AV42" s="5"/>
      <c r="AW42" s="5" t="s">
        <v>104</v>
      </c>
      <c r="AX42" s="11" t="s">
        <v>685</v>
      </c>
      <c r="AY42" s="12" t="str">
        <f>IFERROR(VLOOKUP(MATCH(" ",AG42:AQ42,-1),'[1]erlaubte Werte'!J$2:K$13,2,0),"")</f>
        <v/>
      </c>
      <c r="AZ42" s="45"/>
      <c r="BA42" s="7"/>
    </row>
    <row r="43" spans="1:53" s="14" customFormat="1" ht="20.25" customHeight="1">
      <c r="A43" s="42">
        <f t="shared" si="2"/>
        <v>40</v>
      </c>
      <c r="B43" s="4" t="s">
        <v>218</v>
      </c>
      <c r="C43" s="4" t="s">
        <v>338</v>
      </c>
      <c r="D43" s="21">
        <v>42409</v>
      </c>
      <c r="E43" s="67"/>
      <c r="G43" s="4"/>
      <c r="H43" s="4" t="s">
        <v>142</v>
      </c>
      <c r="I43" s="4" t="s">
        <v>144</v>
      </c>
      <c r="J43" s="4" t="s">
        <v>144</v>
      </c>
      <c r="K43" s="4" t="s">
        <v>144</v>
      </c>
      <c r="L43" s="4" t="s">
        <v>144</v>
      </c>
      <c r="M43" s="22" t="s">
        <v>15</v>
      </c>
      <c r="N43" s="25"/>
      <c r="O43" s="25" t="s">
        <v>15</v>
      </c>
      <c r="P43" s="25"/>
      <c r="Q43" s="25"/>
      <c r="R43" s="22"/>
      <c r="S43" s="6" t="s">
        <v>56</v>
      </c>
      <c r="T43" s="4" t="s">
        <v>505</v>
      </c>
      <c r="U43" s="4" t="s">
        <v>241</v>
      </c>
      <c r="V43" s="4" t="s">
        <v>361</v>
      </c>
      <c r="W43" s="4" t="s">
        <v>245</v>
      </c>
      <c r="X43" s="4" t="s">
        <v>365</v>
      </c>
      <c r="Y43" s="28" t="s">
        <v>469</v>
      </c>
      <c r="Z43" s="28"/>
      <c r="AA43" s="28"/>
      <c r="AB43" s="28"/>
      <c r="AC43" s="28"/>
      <c r="AD43" s="29">
        <v>23456</v>
      </c>
      <c r="AE43" s="29" t="s">
        <v>625</v>
      </c>
      <c r="AF43" s="28" t="s">
        <v>630</v>
      </c>
      <c r="AG43" s="35" t="s">
        <v>15</v>
      </c>
      <c r="AH43" s="5"/>
      <c r="AI43" s="5"/>
      <c r="AJ43" s="5"/>
      <c r="AK43" s="5"/>
      <c r="AL43" s="5"/>
      <c r="AM43" s="5"/>
      <c r="AN43" s="5"/>
      <c r="AO43" s="5"/>
      <c r="AP43" s="5"/>
      <c r="AQ43" s="5"/>
      <c r="AR43" s="5"/>
      <c r="AS43" s="5" t="s">
        <v>106</v>
      </c>
      <c r="AT43" s="5" t="s">
        <v>108</v>
      </c>
      <c r="AU43" s="5" t="s">
        <v>104</v>
      </c>
      <c r="AV43" s="5" t="s">
        <v>122</v>
      </c>
      <c r="AW43" s="5" t="s">
        <v>104</v>
      </c>
      <c r="AX43" s="11" t="s">
        <v>686</v>
      </c>
      <c r="AY43" s="12" t="s">
        <v>121</v>
      </c>
    </row>
    <row r="44" spans="1:53" s="14" customFormat="1" ht="20.25" customHeight="1">
      <c r="A44" s="42">
        <f t="shared" si="2"/>
        <v>41</v>
      </c>
      <c r="B44" s="4" t="s">
        <v>219</v>
      </c>
      <c r="C44" s="4" t="s">
        <v>339</v>
      </c>
      <c r="D44" s="21">
        <v>42410</v>
      </c>
      <c r="E44" s="52"/>
      <c r="F44" s="46"/>
      <c r="G44" s="4"/>
      <c r="H44" s="4" t="s">
        <v>143</v>
      </c>
      <c r="I44" s="4" t="s">
        <v>142</v>
      </c>
      <c r="J44" s="4" t="s">
        <v>143</v>
      </c>
      <c r="K44" s="4" t="s">
        <v>143</v>
      </c>
      <c r="L44" s="4" t="s">
        <v>143</v>
      </c>
      <c r="M44" s="22" t="s">
        <v>15</v>
      </c>
      <c r="N44" s="25"/>
      <c r="O44" s="25"/>
      <c r="P44" s="25" t="s">
        <v>15</v>
      </c>
      <c r="Q44" s="25"/>
      <c r="R44" s="22"/>
      <c r="S44" s="6" t="s">
        <v>57</v>
      </c>
      <c r="T44" s="4" t="s">
        <v>506</v>
      </c>
      <c r="U44" s="4" t="s">
        <v>242</v>
      </c>
      <c r="V44" s="4" t="s">
        <v>362</v>
      </c>
      <c r="W44" s="4" t="s">
        <v>246</v>
      </c>
      <c r="X44" s="4" t="s">
        <v>366</v>
      </c>
      <c r="Y44" s="28" t="s">
        <v>122</v>
      </c>
      <c r="Z44" s="28"/>
      <c r="AA44" s="28"/>
      <c r="AB44" s="28"/>
      <c r="AC44" s="28"/>
      <c r="AD44" s="29">
        <v>12345</v>
      </c>
      <c r="AE44" s="29" t="s">
        <v>624</v>
      </c>
      <c r="AF44" s="28" t="s">
        <v>626</v>
      </c>
      <c r="AG44" s="35"/>
      <c r="AH44" s="5"/>
      <c r="AI44" s="5"/>
      <c r="AJ44" s="5"/>
      <c r="AK44" s="5" t="s">
        <v>112</v>
      </c>
      <c r="AL44" s="5"/>
      <c r="AM44" s="5"/>
      <c r="AN44" s="5"/>
      <c r="AO44" s="5"/>
      <c r="AP44" s="5"/>
      <c r="AQ44" s="5"/>
      <c r="AR44" s="5"/>
      <c r="AS44" s="5" t="s">
        <v>111</v>
      </c>
      <c r="AT44" s="5" t="s">
        <v>108</v>
      </c>
      <c r="AU44" s="5" t="s">
        <v>104</v>
      </c>
      <c r="AV44" s="5" t="s">
        <v>122</v>
      </c>
      <c r="AW44" s="5" t="s">
        <v>104</v>
      </c>
      <c r="AX44" s="11" t="s">
        <v>687</v>
      </c>
      <c r="AY44" s="12" t="str">
        <f>IFERROR(VLOOKUP(MATCH(" ",AG44:AQ44,-1),'[1]erlaubte Werte'!J$2:K$13,2,0),"")</f>
        <v/>
      </c>
      <c r="AZ44" s="46"/>
      <c r="BA44" s="7"/>
    </row>
    <row r="45" spans="1:53" s="14" customFormat="1" ht="20.25" customHeight="1">
      <c r="A45" s="42">
        <f t="shared" si="2"/>
        <v>42</v>
      </c>
      <c r="B45" s="4" t="s">
        <v>220</v>
      </c>
      <c r="C45" s="4" t="s">
        <v>340</v>
      </c>
      <c r="D45" s="21">
        <v>42411</v>
      </c>
      <c r="E45" s="67"/>
      <c r="G45" s="4"/>
      <c r="H45" s="4" t="s">
        <v>144</v>
      </c>
      <c r="I45" s="4" t="s">
        <v>141</v>
      </c>
      <c r="J45" s="4" t="s">
        <v>142</v>
      </c>
      <c r="K45" s="4" t="s">
        <v>142</v>
      </c>
      <c r="L45" s="4" t="s">
        <v>142</v>
      </c>
      <c r="M45" s="22"/>
      <c r="N45" s="25" t="s">
        <v>15</v>
      </c>
      <c r="O45" s="25" t="s">
        <v>15</v>
      </c>
      <c r="P45" s="25"/>
      <c r="Q45" s="25"/>
      <c r="R45" s="22"/>
      <c r="S45" s="6" t="s">
        <v>58</v>
      </c>
      <c r="T45" s="4" t="s">
        <v>507</v>
      </c>
      <c r="U45" s="4" t="s">
        <v>243</v>
      </c>
      <c r="V45" s="4" t="s">
        <v>363</v>
      </c>
      <c r="W45" s="4" t="s">
        <v>247</v>
      </c>
      <c r="X45" s="4" t="s">
        <v>367</v>
      </c>
      <c r="Y45" s="28" t="s">
        <v>122</v>
      </c>
      <c r="Z45" s="28"/>
      <c r="AA45" s="28"/>
      <c r="AB45" s="28"/>
      <c r="AC45" s="28"/>
      <c r="AD45" s="29">
        <v>12345</v>
      </c>
      <c r="AE45" s="29" t="s">
        <v>625</v>
      </c>
      <c r="AF45" s="28" t="s">
        <v>627</v>
      </c>
      <c r="AG45" s="35"/>
      <c r="AH45" s="5"/>
      <c r="AI45" s="5"/>
      <c r="AJ45" s="5"/>
      <c r="AK45" s="5" t="s">
        <v>112</v>
      </c>
      <c r="AL45" s="5"/>
      <c r="AM45" s="5"/>
      <c r="AN45" s="5"/>
      <c r="AO45" s="5"/>
      <c r="AP45" s="5"/>
      <c r="AQ45" s="5"/>
      <c r="AR45" s="5"/>
      <c r="AS45" s="5">
        <v>4</v>
      </c>
      <c r="AT45" s="5" t="s">
        <v>108</v>
      </c>
      <c r="AU45" s="5" t="s">
        <v>104</v>
      </c>
      <c r="AV45" s="5" t="s">
        <v>122</v>
      </c>
      <c r="AW45" s="5" t="s">
        <v>104</v>
      </c>
      <c r="AX45" s="11" t="s">
        <v>688</v>
      </c>
      <c r="AY45" s="12" t="s">
        <v>121</v>
      </c>
    </row>
    <row r="46" spans="1:53" s="14" customFormat="1" ht="20.25" customHeight="1">
      <c r="A46" s="42">
        <f t="shared" si="2"/>
        <v>43</v>
      </c>
      <c r="B46" s="4" t="s">
        <v>221</v>
      </c>
      <c r="C46" s="4" t="s">
        <v>341</v>
      </c>
      <c r="D46" s="21">
        <v>42412</v>
      </c>
      <c r="E46" s="66"/>
      <c r="F46" s="13"/>
      <c r="G46" s="4"/>
      <c r="H46" s="4" t="s">
        <v>144</v>
      </c>
      <c r="I46" s="4" t="s">
        <v>142</v>
      </c>
      <c r="J46" s="4" t="s">
        <v>142</v>
      </c>
      <c r="K46" s="4" t="s">
        <v>143</v>
      </c>
      <c r="L46" s="4" t="s">
        <v>143</v>
      </c>
      <c r="M46" s="22" t="s">
        <v>15</v>
      </c>
      <c r="N46" s="25"/>
      <c r="O46" s="25" t="s">
        <v>15</v>
      </c>
      <c r="P46" s="25"/>
      <c r="Q46" s="25"/>
      <c r="R46" s="22"/>
      <c r="S46" s="6" t="s">
        <v>59</v>
      </c>
      <c r="T46" s="4" t="s">
        <v>508</v>
      </c>
      <c r="U46" s="4" t="s">
        <v>244</v>
      </c>
      <c r="V46" s="4" t="s">
        <v>364</v>
      </c>
      <c r="W46" s="4" t="s">
        <v>248</v>
      </c>
      <c r="X46" s="4" t="s">
        <v>368</v>
      </c>
      <c r="Y46" s="28" t="s">
        <v>122</v>
      </c>
      <c r="Z46" s="28"/>
      <c r="AA46" s="28"/>
      <c r="AB46" s="28"/>
      <c r="AC46" s="28"/>
      <c r="AD46" s="29">
        <v>23456</v>
      </c>
      <c r="AE46" s="29" t="s">
        <v>624</v>
      </c>
      <c r="AF46" s="28" t="s">
        <v>628</v>
      </c>
      <c r="AG46" s="35" t="s">
        <v>15</v>
      </c>
      <c r="AH46" s="5"/>
      <c r="AI46" s="5"/>
      <c r="AJ46" s="5"/>
      <c r="AK46" s="5"/>
      <c r="AL46" s="5"/>
      <c r="AM46" s="5"/>
      <c r="AN46" s="5"/>
      <c r="AO46" s="5"/>
      <c r="AP46" s="5"/>
      <c r="AQ46" s="5"/>
      <c r="AR46" s="5"/>
      <c r="AS46" s="5" t="s">
        <v>102</v>
      </c>
      <c r="AT46" s="5" t="s">
        <v>108</v>
      </c>
      <c r="AU46" s="5" t="s">
        <v>104</v>
      </c>
      <c r="AV46" s="5" t="s">
        <v>122</v>
      </c>
      <c r="AW46" s="5" t="s">
        <v>104</v>
      </c>
      <c r="AX46" s="11" t="s">
        <v>689</v>
      </c>
      <c r="AY46" s="12" t="s">
        <v>121</v>
      </c>
      <c r="AZ46" s="13"/>
      <c r="BA46" s="13"/>
    </row>
    <row r="47" spans="1:53" s="14" customFormat="1" ht="20.25" customHeight="1">
      <c r="A47" s="42">
        <f t="shared" si="2"/>
        <v>44</v>
      </c>
      <c r="B47" s="4" t="s">
        <v>222</v>
      </c>
      <c r="C47" s="4" t="s">
        <v>342</v>
      </c>
      <c r="D47" s="21">
        <v>42413</v>
      </c>
      <c r="E47" s="52"/>
      <c r="F47" s="46"/>
      <c r="G47" s="4"/>
      <c r="H47" s="4" t="s">
        <v>142</v>
      </c>
      <c r="I47" s="4" t="s">
        <v>144</v>
      </c>
      <c r="J47" s="4" t="s">
        <v>143</v>
      </c>
      <c r="K47" s="4" t="s">
        <v>143</v>
      </c>
      <c r="L47" s="4" t="s">
        <v>143</v>
      </c>
      <c r="M47" s="22" t="s">
        <v>15</v>
      </c>
      <c r="N47" s="23"/>
      <c r="O47" s="23"/>
      <c r="P47" s="23" t="s">
        <v>15</v>
      </c>
      <c r="Q47" s="23"/>
      <c r="R47" s="24"/>
      <c r="S47" s="6" t="s">
        <v>60</v>
      </c>
      <c r="T47" s="4" t="s">
        <v>509</v>
      </c>
      <c r="U47" s="4" t="s">
        <v>245</v>
      </c>
      <c r="V47" s="4" t="s">
        <v>365</v>
      </c>
      <c r="W47" s="4" t="s">
        <v>249</v>
      </c>
      <c r="X47" s="4" t="s">
        <v>369</v>
      </c>
      <c r="Y47" s="28"/>
      <c r="Z47" s="28"/>
      <c r="AA47" s="28"/>
      <c r="AB47" s="28"/>
      <c r="AC47" s="28"/>
      <c r="AD47" s="29">
        <v>23456</v>
      </c>
      <c r="AE47" s="29" t="s">
        <v>625</v>
      </c>
      <c r="AF47" s="28" t="s">
        <v>629</v>
      </c>
      <c r="AG47" s="35" t="s">
        <v>15</v>
      </c>
      <c r="AH47" s="5"/>
      <c r="AI47" s="5"/>
      <c r="AJ47" s="5"/>
      <c r="AK47" s="5"/>
      <c r="AL47" s="5"/>
      <c r="AM47" s="5"/>
      <c r="AN47" s="5"/>
      <c r="AO47" s="5"/>
      <c r="AP47" s="5"/>
      <c r="AQ47" s="5"/>
      <c r="AR47" s="5"/>
      <c r="AS47" s="5">
        <v>4</v>
      </c>
      <c r="AT47" s="5" t="s">
        <v>108</v>
      </c>
      <c r="AU47" s="5" t="s">
        <v>104</v>
      </c>
      <c r="AV47" s="5"/>
      <c r="AW47" s="5" t="s">
        <v>104</v>
      </c>
      <c r="AX47" s="11" t="s">
        <v>690</v>
      </c>
      <c r="AY47" s="12" t="str">
        <f>IFERROR(VLOOKUP(MATCH(" ",AG47:AQ47,-1),'[1]erlaubte Werte'!J$2:K$13,2,0),"")</f>
        <v/>
      </c>
      <c r="AZ47" s="46"/>
      <c r="BA47" s="8"/>
    </row>
    <row r="48" spans="1:53" s="14" customFormat="1" ht="20.25" customHeight="1">
      <c r="A48" s="42">
        <f t="shared" si="2"/>
        <v>45</v>
      </c>
      <c r="B48" s="4" t="s">
        <v>223</v>
      </c>
      <c r="C48" s="4" t="s">
        <v>343</v>
      </c>
      <c r="D48" s="21">
        <v>42414</v>
      </c>
      <c r="E48" s="67"/>
      <c r="G48" s="4"/>
      <c r="H48" s="4" t="s">
        <v>141</v>
      </c>
      <c r="I48" s="4" t="s">
        <v>143</v>
      </c>
      <c r="J48" s="4" t="s">
        <v>141</v>
      </c>
      <c r="K48" s="4" t="s">
        <v>142</v>
      </c>
      <c r="L48" s="4" t="s">
        <v>141</v>
      </c>
      <c r="M48" s="22"/>
      <c r="N48" s="25" t="s">
        <v>15</v>
      </c>
      <c r="O48" s="25" t="s">
        <v>15</v>
      </c>
      <c r="P48" s="25"/>
      <c r="Q48" s="25"/>
      <c r="R48" s="22"/>
      <c r="S48" s="6" t="s">
        <v>61</v>
      </c>
      <c r="T48" s="4" t="s">
        <v>510</v>
      </c>
      <c r="U48" s="4" t="s">
        <v>246</v>
      </c>
      <c r="V48" s="4" t="s">
        <v>366</v>
      </c>
      <c r="W48" s="4" t="s">
        <v>250</v>
      </c>
      <c r="X48" s="4" t="s">
        <v>370</v>
      </c>
      <c r="Y48" s="28" t="s">
        <v>122</v>
      </c>
      <c r="Z48" s="28"/>
      <c r="AA48" s="28"/>
      <c r="AB48" s="28"/>
      <c r="AC48" s="28"/>
      <c r="AD48" s="29">
        <v>12345</v>
      </c>
      <c r="AE48" s="29" t="s">
        <v>624</v>
      </c>
      <c r="AF48" s="28" t="s">
        <v>630</v>
      </c>
      <c r="AG48" s="35"/>
      <c r="AH48" s="5" t="s">
        <v>15</v>
      </c>
      <c r="AI48" s="5"/>
      <c r="AJ48" s="5"/>
      <c r="AK48" s="5"/>
      <c r="AL48" s="5"/>
      <c r="AM48" s="5"/>
      <c r="AN48" s="5"/>
      <c r="AO48" s="5"/>
      <c r="AP48" s="5"/>
      <c r="AQ48" s="5"/>
      <c r="AR48" s="5"/>
      <c r="AS48" s="5" t="s">
        <v>106</v>
      </c>
      <c r="AT48" s="5" t="s">
        <v>103</v>
      </c>
      <c r="AU48" s="5" t="s">
        <v>104</v>
      </c>
      <c r="AV48" s="5" t="s">
        <v>122</v>
      </c>
      <c r="AW48" s="5" t="s">
        <v>115</v>
      </c>
      <c r="AX48" s="11" t="s">
        <v>691</v>
      </c>
      <c r="AY48" s="12" t="s">
        <v>121</v>
      </c>
    </row>
    <row r="49" spans="1:53" s="14" customFormat="1" ht="20.25" customHeight="1">
      <c r="A49" s="42">
        <f t="shared" si="2"/>
        <v>46</v>
      </c>
      <c r="B49" s="4" t="s">
        <v>224</v>
      </c>
      <c r="C49" s="4" t="s">
        <v>344</v>
      </c>
      <c r="D49" s="21">
        <v>42415</v>
      </c>
      <c r="E49" s="42"/>
      <c r="F49" s="12"/>
      <c r="G49" s="4"/>
      <c r="H49" s="4" t="s">
        <v>144</v>
      </c>
      <c r="I49" s="4" t="s">
        <v>142</v>
      </c>
      <c r="J49" s="4" t="s">
        <v>143</v>
      </c>
      <c r="K49" s="4" t="s">
        <v>141</v>
      </c>
      <c r="L49" s="4" t="s">
        <v>143</v>
      </c>
      <c r="M49" s="22"/>
      <c r="N49" s="25" t="s">
        <v>15</v>
      </c>
      <c r="O49" s="25" t="s">
        <v>15</v>
      </c>
      <c r="P49" s="25"/>
      <c r="Q49" s="25"/>
      <c r="R49" s="22"/>
      <c r="S49" s="6" t="s">
        <v>62</v>
      </c>
      <c r="T49" s="4" t="s">
        <v>511</v>
      </c>
      <c r="U49" s="4" t="s">
        <v>247</v>
      </c>
      <c r="V49" s="4" t="s">
        <v>367</v>
      </c>
      <c r="W49" s="4" t="s">
        <v>251</v>
      </c>
      <c r="X49" s="4" t="s">
        <v>371</v>
      </c>
      <c r="Y49" s="28" t="s">
        <v>122</v>
      </c>
      <c r="Z49" s="28"/>
      <c r="AA49" s="28"/>
      <c r="AB49" s="28"/>
      <c r="AC49" s="28"/>
      <c r="AD49" s="29">
        <v>12345</v>
      </c>
      <c r="AE49" s="29" t="s">
        <v>625</v>
      </c>
      <c r="AF49" s="28" t="s">
        <v>626</v>
      </c>
      <c r="AG49" s="35"/>
      <c r="AH49" s="5" t="s">
        <v>15</v>
      </c>
      <c r="AI49" s="5"/>
      <c r="AJ49" s="5"/>
      <c r="AK49" s="5"/>
      <c r="AL49" s="5"/>
      <c r="AM49" s="5"/>
      <c r="AN49" s="5"/>
      <c r="AO49" s="5"/>
      <c r="AP49" s="5"/>
      <c r="AQ49" s="5"/>
      <c r="AR49" s="5"/>
      <c r="AS49" s="5" t="s">
        <v>102</v>
      </c>
      <c r="AT49" s="5" t="s">
        <v>103</v>
      </c>
      <c r="AU49" s="5" t="s">
        <v>104</v>
      </c>
      <c r="AV49" s="5" t="s">
        <v>122</v>
      </c>
      <c r="AW49" s="5" t="s">
        <v>104</v>
      </c>
      <c r="AX49" s="11" t="s">
        <v>692</v>
      </c>
      <c r="AY49" s="12" t="s">
        <v>121</v>
      </c>
      <c r="AZ49" s="12"/>
      <c r="BA49" s="12"/>
    </row>
    <row r="50" spans="1:53" s="14" customFormat="1" ht="20.25" customHeight="1">
      <c r="A50" s="42">
        <f t="shared" si="2"/>
        <v>47</v>
      </c>
      <c r="B50" s="4" t="s">
        <v>225</v>
      </c>
      <c r="C50" s="4" t="s">
        <v>345</v>
      </c>
      <c r="D50" s="21">
        <v>42416</v>
      </c>
      <c r="E50" s="42"/>
      <c r="F50" s="12"/>
      <c r="G50" s="4"/>
      <c r="H50" s="4" t="s">
        <v>142</v>
      </c>
      <c r="I50" s="4" t="s">
        <v>143</v>
      </c>
      <c r="J50" s="4" t="s">
        <v>141</v>
      </c>
      <c r="K50" s="4" t="s">
        <v>141</v>
      </c>
      <c r="L50" s="4" t="s">
        <v>141</v>
      </c>
      <c r="M50" s="22" t="s">
        <v>15</v>
      </c>
      <c r="N50" s="25"/>
      <c r="O50" s="25" t="s">
        <v>15</v>
      </c>
      <c r="P50" s="25"/>
      <c r="Q50" s="25"/>
      <c r="R50" s="22"/>
      <c r="S50" s="6" t="s">
        <v>63</v>
      </c>
      <c r="T50" s="4" t="s">
        <v>512</v>
      </c>
      <c r="U50" s="4" t="s">
        <v>248</v>
      </c>
      <c r="V50" s="4" t="s">
        <v>368</v>
      </c>
      <c r="W50" s="4" t="s">
        <v>252</v>
      </c>
      <c r="X50" s="4" t="s">
        <v>372</v>
      </c>
      <c r="Y50" s="28" t="s">
        <v>122</v>
      </c>
      <c r="Z50" s="28"/>
      <c r="AA50" s="28"/>
      <c r="AB50" s="28"/>
      <c r="AC50" s="28"/>
      <c r="AD50" s="29">
        <v>23456</v>
      </c>
      <c r="AE50" s="29" t="s">
        <v>624</v>
      </c>
      <c r="AF50" s="28" t="s">
        <v>627</v>
      </c>
      <c r="AG50" s="35"/>
      <c r="AH50" s="5" t="s">
        <v>15</v>
      </c>
      <c r="AI50" s="5"/>
      <c r="AJ50" s="5"/>
      <c r="AK50" s="5"/>
      <c r="AL50" s="5"/>
      <c r="AM50" s="5"/>
      <c r="AN50" s="5"/>
      <c r="AO50" s="5"/>
      <c r="AP50" s="5"/>
      <c r="AQ50" s="5"/>
      <c r="AR50" s="5"/>
      <c r="AS50" s="5" t="s">
        <v>102</v>
      </c>
      <c r="AT50" s="5" t="s">
        <v>103</v>
      </c>
      <c r="AU50" s="5" t="s">
        <v>104</v>
      </c>
      <c r="AV50" s="5" t="s">
        <v>122</v>
      </c>
      <c r="AW50" s="5" t="s">
        <v>104</v>
      </c>
      <c r="AX50" s="11" t="s">
        <v>693</v>
      </c>
      <c r="AY50" s="12" t="s">
        <v>121</v>
      </c>
      <c r="AZ50" s="12"/>
      <c r="BA50" s="12"/>
    </row>
    <row r="51" spans="1:53" s="14" customFormat="1" ht="20.25" customHeight="1">
      <c r="A51" s="42">
        <f t="shared" si="2"/>
        <v>48</v>
      </c>
      <c r="B51" s="4" t="s">
        <v>226</v>
      </c>
      <c r="C51" s="4" t="s">
        <v>346</v>
      </c>
      <c r="D51" s="21">
        <v>42417</v>
      </c>
      <c r="E51" s="68"/>
      <c r="F51" s="45"/>
      <c r="G51" s="4" t="s">
        <v>144</v>
      </c>
      <c r="H51" s="4" t="s">
        <v>144</v>
      </c>
      <c r="I51" s="4" t="s">
        <v>144</v>
      </c>
      <c r="J51" s="4" t="s">
        <v>144</v>
      </c>
      <c r="K51" s="4" t="s">
        <v>144</v>
      </c>
      <c r="L51" s="4" t="s">
        <v>144</v>
      </c>
      <c r="M51" s="22" t="s">
        <v>15</v>
      </c>
      <c r="N51" s="25"/>
      <c r="O51" s="25" t="s">
        <v>15</v>
      </c>
      <c r="P51" s="25"/>
      <c r="Q51" s="25"/>
      <c r="R51" s="22"/>
      <c r="S51" s="6" t="s">
        <v>64</v>
      </c>
      <c r="T51" s="4" t="s">
        <v>513</v>
      </c>
      <c r="U51" s="4" t="s">
        <v>249</v>
      </c>
      <c r="V51" s="4" t="s">
        <v>369</v>
      </c>
      <c r="W51" s="4" t="s">
        <v>253</v>
      </c>
      <c r="X51" s="4" t="s">
        <v>373</v>
      </c>
      <c r="Y51" s="28" t="s">
        <v>122</v>
      </c>
      <c r="Z51" s="28"/>
      <c r="AA51" s="28"/>
      <c r="AB51" s="28"/>
      <c r="AC51" s="28"/>
      <c r="AD51" s="29">
        <v>23456</v>
      </c>
      <c r="AE51" s="29" t="s">
        <v>625</v>
      </c>
      <c r="AF51" s="28" t="s">
        <v>628</v>
      </c>
      <c r="AG51" s="35"/>
      <c r="AH51" s="5" t="s">
        <v>15</v>
      </c>
      <c r="AI51" s="5"/>
      <c r="AJ51" s="5"/>
      <c r="AK51" s="5"/>
      <c r="AL51" s="5"/>
      <c r="AM51" s="5"/>
      <c r="AN51" s="5"/>
      <c r="AO51" s="5"/>
      <c r="AP51" s="5"/>
      <c r="AQ51" s="5"/>
      <c r="AR51" s="5"/>
      <c r="AS51" s="5" t="s">
        <v>102</v>
      </c>
      <c r="AT51" s="5" t="s">
        <v>103</v>
      </c>
      <c r="AU51" s="5" t="s">
        <v>104</v>
      </c>
      <c r="AV51" s="5" t="s">
        <v>122</v>
      </c>
      <c r="AW51" s="5" t="s">
        <v>114</v>
      </c>
      <c r="AX51" s="11" t="s">
        <v>694</v>
      </c>
      <c r="AY51" s="12" t="s">
        <v>121</v>
      </c>
      <c r="AZ51" s="45"/>
      <c r="BA51" s="45"/>
    </row>
    <row r="52" spans="1:53" s="14" customFormat="1" ht="20.25" customHeight="1">
      <c r="A52" s="42">
        <f t="shared" si="2"/>
        <v>49</v>
      </c>
      <c r="B52" s="4" t="s">
        <v>227</v>
      </c>
      <c r="C52" s="4" t="s">
        <v>347</v>
      </c>
      <c r="D52" s="21">
        <v>42418</v>
      </c>
      <c r="E52" s="42"/>
      <c r="F52" s="12"/>
      <c r="G52" s="4" t="s">
        <v>142</v>
      </c>
      <c r="H52" s="4" t="s">
        <v>142</v>
      </c>
      <c r="I52" s="4" t="s">
        <v>142</v>
      </c>
      <c r="J52" s="4" t="s">
        <v>142</v>
      </c>
      <c r="K52" s="4" t="s">
        <v>142</v>
      </c>
      <c r="L52" s="4" t="s">
        <v>142</v>
      </c>
      <c r="M52" s="22"/>
      <c r="N52" s="25" t="s">
        <v>15</v>
      </c>
      <c r="O52" s="25" t="s">
        <v>15</v>
      </c>
      <c r="P52" s="25"/>
      <c r="Q52" s="25"/>
      <c r="R52" s="22"/>
      <c r="S52" s="6" t="s">
        <v>65</v>
      </c>
      <c r="T52" s="4" t="s">
        <v>514</v>
      </c>
      <c r="U52" s="4" t="s">
        <v>250</v>
      </c>
      <c r="V52" s="4" t="s">
        <v>370</v>
      </c>
      <c r="W52" s="4" t="s">
        <v>254</v>
      </c>
      <c r="X52" s="4" t="s">
        <v>374</v>
      </c>
      <c r="Y52" s="28" t="s">
        <v>122</v>
      </c>
      <c r="Z52" s="28"/>
      <c r="AA52" s="28"/>
      <c r="AB52" s="28"/>
      <c r="AC52" s="28"/>
      <c r="AD52" s="29">
        <v>12345</v>
      </c>
      <c r="AE52" s="29" t="s">
        <v>624</v>
      </c>
      <c r="AF52" s="28" t="s">
        <v>629</v>
      </c>
      <c r="AG52" s="35"/>
      <c r="AH52" s="5"/>
      <c r="AI52" s="5"/>
      <c r="AJ52" s="5"/>
      <c r="AK52" s="5" t="s">
        <v>15</v>
      </c>
      <c r="AL52" s="5"/>
      <c r="AM52" s="5"/>
      <c r="AN52" s="5"/>
      <c r="AO52" s="5"/>
      <c r="AP52" s="5"/>
      <c r="AQ52" s="5"/>
      <c r="AR52" s="5"/>
      <c r="AS52" s="5" t="s">
        <v>106</v>
      </c>
      <c r="AT52" s="5" t="s">
        <v>103</v>
      </c>
      <c r="AU52" s="5" t="s">
        <v>104</v>
      </c>
      <c r="AV52" s="5" t="s">
        <v>122</v>
      </c>
      <c r="AW52" s="5" t="s">
        <v>115</v>
      </c>
      <c r="AX52" s="11" t="s">
        <v>695</v>
      </c>
      <c r="AY52" s="12" t="s">
        <v>121</v>
      </c>
      <c r="AZ52" s="12"/>
      <c r="BA52" s="12"/>
    </row>
    <row r="53" spans="1:53" s="14" customFormat="1" ht="20.25" customHeight="1">
      <c r="A53" s="42">
        <f t="shared" si="2"/>
        <v>50</v>
      </c>
      <c r="B53" s="4" t="s">
        <v>228</v>
      </c>
      <c r="C53" s="4" t="s">
        <v>348</v>
      </c>
      <c r="D53" s="21">
        <v>42419</v>
      </c>
      <c r="E53" s="52"/>
      <c r="F53" s="46"/>
      <c r="G53" s="4" t="s">
        <v>143</v>
      </c>
      <c r="H53" s="4" t="s">
        <v>143</v>
      </c>
      <c r="I53" s="4" t="s">
        <v>143</v>
      </c>
      <c r="J53" s="4" t="s">
        <v>143</v>
      </c>
      <c r="K53" s="4" t="s">
        <v>143</v>
      </c>
      <c r="L53" s="4" t="s">
        <v>143</v>
      </c>
      <c r="M53" s="22"/>
      <c r="N53" s="25" t="s">
        <v>15</v>
      </c>
      <c r="O53" s="25"/>
      <c r="P53" s="25"/>
      <c r="Q53" s="25" t="s">
        <v>15</v>
      </c>
      <c r="R53" s="22"/>
      <c r="S53" s="6" t="s">
        <v>66</v>
      </c>
      <c r="T53" s="4" t="s">
        <v>515</v>
      </c>
      <c r="U53" s="4" t="s">
        <v>251</v>
      </c>
      <c r="V53" s="4" t="s">
        <v>371</v>
      </c>
      <c r="W53" s="4" t="s">
        <v>255</v>
      </c>
      <c r="X53" s="4" t="s">
        <v>375</v>
      </c>
      <c r="Y53" s="28"/>
      <c r="Z53" s="28"/>
      <c r="AA53" s="28"/>
      <c r="AB53" s="28"/>
      <c r="AC53" s="28"/>
      <c r="AD53" s="29">
        <v>12345</v>
      </c>
      <c r="AE53" s="29" t="s">
        <v>625</v>
      </c>
      <c r="AF53" s="28" t="s">
        <v>630</v>
      </c>
      <c r="AG53" s="35"/>
      <c r="AH53" s="5"/>
      <c r="AI53" s="5"/>
      <c r="AJ53" s="5"/>
      <c r="AK53" s="5"/>
      <c r="AL53" s="5" t="s">
        <v>15</v>
      </c>
      <c r="AM53" s="5"/>
      <c r="AN53" s="5"/>
      <c r="AO53" s="5"/>
      <c r="AP53" s="5"/>
      <c r="AQ53" s="5"/>
      <c r="AR53" s="5"/>
      <c r="AS53" s="5" t="s">
        <v>111</v>
      </c>
      <c r="AT53" s="5" t="s">
        <v>108</v>
      </c>
      <c r="AU53" s="5" t="s">
        <v>104</v>
      </c>
      <c r="AV53" s="5"/>
      <c r="AW53" s="5" t="s">
        <v>104</v>
      </c>
      <c r="AX53" s="11" t="s">
        <v>696</v>
      </c>
      <c r="AY53" s="12" t="str">
        <f>IFERROR(VLOOKUP(MATCH(" ",AG53:AQ53,-1),'[1]erlaubte Werte'!J$2:K$13,2,0),"")</f>
        <v/>
      </c>
      <c r="AZ53" s="46"/>
      <c r="BA53" s="7"/>
    </row>
    <row r="54" spans="1:53" s="14" customFormat="1" ht="20.25" customHeight="1">
      <c r="A54" s="42">
        <f t="shared" si="2"/>
        <v>51</v>
      </c>
      <c r="B54" s="4" t="s">
        <v>229</v>
      </c>
      <c r="C54" s="4" t="s">
        <v>349</v>
      </c>
      <c r="D54" s="21">
        <v>42420</v>
      </c>
      <c r="E54" s="66"/>
      <c r="F54" s="13"/>
      <c r="G54" s="4"/>
      <c r="H54" s="4" t="s">
        <v>143</v>
      </c>
      <c r="I54" s="4" t="s">
        <v>143</v>
      </c>
      <c r="J54" s="4" t="s">
        <v>144</v>
      </c>
      <c r="K54" s="4" t="s">
        <v>144</v>
      </c>
      <c r="L54" s="4" t="s">
        <v>143</v>
      </c>
      <c r="M54" s="22" t="s">
        <v>15</v>
      </c>
      <c r="N54" s="25"/>
      <c r="O54" s="25" t="s">
        <v>15</v>
      </c>
      <c r="P54" s="25"/>
      <c r="Q54" s="25"/>
      <c r="R54" s="22"/>
      <c r="S54" s="6" t="s">
        <v>67</v>
      </c>
      <c r="T54" s="4" t="s">
        <v>516</v>
      </c>
      <c r="U54" s="4" t="s">
        <v>252</v>
      </c>
      <c r="V54" s="4" t="s">
        <v>372</v>
      </c>
      <c r="W54" s="4" t="s">
        <v>256</v>
      </c>
      <c r="X54" s="4" t="s">
        <v>376</v>
      </c>
      <c r="Y54" s="28" t="s">
        <v>122</v>
      </c>
      <c r="Z54" s="28"/>
      <c r="AA54" s="28"/>
      <c r="AB54" s="28"/>
      <c r="AC54" s="28"/>
      <c r="AD54" s="29">
        <v>23456</v>
      </c>
      <c r="AE54" s="29" t="s">
        <v>624</v>
      </c>
      <c r="AF54" s="28" t="s">
        <v>626</v>
      </c>
      <c r="AG54" s="35"/>
      <c r="AH54" s="5"/>
      <c r="AI54" s="5"/>
      <c r="AJ54" s="5"/>
      <c r="AK54" s="5"/>
      <c r="AL54" s="5" t="s">
        <v>15</v>
      </c>
      <c r="AM54" s="5"/>
      <c r="AN54" s="5"/>
      <c r="AO54" s="5"/>
      <c r="AP54" s="5"/>
      <c r="AQ54" s="5"/>
      <c r="AR54" s="5"/>
      <c r="AS54" s="5" t="s">
        <v>111</v>
      </c>
      <c r="AT54" s="5" t="s">
        <v>108</v>
      </c>
      <c r="AU54" s="5" t="s">
        <v>104</v>
      </c>
      <c r="AV54" s="5" t="s">
        <v>122</v>
      </c>
      <c r="AW54" s="5" t="s">
        <v>104</v>
      </c>
      <c r="AX54" s="11" t="s">
        <v>697</v>
      </c>
      <c r="AY54" s="12" t="s">
        <v>121</v>
      </c>
      <c r="AZ54" s="13"/>
      <c r="BA54" s="13"/>
    </row>
    <row r="55" spans="1:53" s="14" customFormat="1" ht="20.25" customHeight="1">
      <c r="A55" s="42">
        <f t="shared" si="2"/>
        <v>52</v>
      </c>
      <c r="B55" s="4" t="s">
        <v>230</v>
      </c>
      <c r="C55" s="4" t="s">
        <v>350</v>
      </c>
      <c r="D55" s="21">
        <v>42421</v>
      </c>
      <c r="E55" s="42"/>
      <c r="F55" s="12"/>
      <c r="G55" s="4"/>
      <c r="H55" s="4" t="s">
        <v>143</v>
      </c>
      <c r="I55" s="4" t="s">
        <v>142</v>
      </c>
      <c r="J55" s="4" t="s">
        <v>142</v>
      </c>
      <c r="K55" s="4" t="s">
        <v>142</v>
      </c>
      <c r="L55" s="4" t="s">
        <v>142</v>
      </c>
      <c r="M55" s="22" t="s">
        <v>15</v>
      </c>
      <c r="N55" s="25"/>
      <c r="O55" s="25" t="s">
        <v>15</v>
      </c>
      <c r="P55" s="25"/>
      <c r="Q55" s="25"/>
      <c r="R55" s="22"/>
      <c r="S55" s="6" t="s">
        <v>68</v>
      </c>
      <c r="T55" s="4" t="s">
        <v>517</v>
      </c>
      <c r="U55" s="4" t="s">
        <v>253</v>
      </c>
      <c r="V55" s="4" t="s">
        <v>373</v>
      </c>
      <c r="W55" s="4" t="s">
        <v>257</v>
      </c>
      <c r="X55" s="4" t="s">
        <v>377</v>
      </c>
      <c r="Y55" s="28" t="s">
        <v>122</v>
      </c>
      <c r="Z55" s="28"/>
      <c r="AA55" s="28"/>
      <c r="AB55" s="28"/>
      <c r="AC55" s="28"/>
      <c r="AD55" s="29">
        <v>23456</v>
      </c>
      <c r="AE55" s="29" t="s">
        <v>625</v>
      </c>
      <c r="AF55" s="28" t="s">
        <v>627</v>
      </c>
      <c r="AG55" s="35"/>
      <c r="AH55" s="5" t="s">
        <v>15</v>
      </c>
      <c r="AI55" s="5"/>
      <c r="AJ55" s="5"/>
      <c r="AK55" s="5"/>
      <c r="AL55" s="5"/>
      <c r="AM55" s="5"/>
      <c r="AN55" s="5"/>
      <c r="AO55" s="5"/>
      <c r="AP55" s="5"/>
      <c r="AQ55" s="5"/>
      <c r="AR55" s="5"/>
      <c r="AS55" s="5" t="s">
        <v>105</v>
      </c>
      <c r="AT55" s="5" t="s">
        <v>103</v>
      </c>
      <c r="AU55" s="5" t="s">
        <v>104</v>
      </c>
      <c r="AV55" s="5" t="s">
        <v>122</v>
      </c>
      <c r="AW55" s="5" t="s">
        <v>104</v>
      </c>
      <c r="AX55" s="11" t="s">
        <v>698</v>
      </c>
      <c r="AY55" s="12" t="s">
        <v>121</v>
      </c>
      <c r="AZ55" s="12"/>
      <c r="BA55" s="12"/>
    </row>
    <row r="56" spans="1:53" s="14" customFormat="1" ht="20.25" customHeight="1">
      <c r="A56" s="42">
        <f t="shared" si="2"/>
        <v>53</v>
      </c>
      <c r="B56" s="4" t="s">
        <v>231</v>
      </c>
      <c r="C56" s="4" t="s">
        <v>351</v>
      </c>
      <c r="D56" s="21">
        <v>42422</v>
      </c>
      <c r="E56" s="67"/>
      <c r="G56" s="4" t="s">
        <v>141</v>
      </c>
      <c r="H56" s="4" t="s">
        <v>141</v>
      </c>
      <c r="I56" s="4" t="s">
        <v>141</v>
      </c>
      <c r="J56" s="4" t="s">
        <v>141</v>
      </c>
      <c r="K56" s="4" t="s">
        <v>141</v>
      </c>
      <c r="L56" s="4" t="s">
        <v>141</v>
      </c>
      <c r="M56" s="22" t="s">
        <v>15</v>
      </c>
      <c r="N56" s="25"/>
      <c r="O56" s="25" t="s">
        <v>15</v>
      </c>
      <c r="P56" s="25"/>
      <c r="Q56" s="25"/>
      <c r="R56" s="22"/>
      <c r="S56" s="6" t="s">
        <v>69</v>
      </c>
      <c r="T56" s="4" t="s">
        <v>518</v>
      </c>
      <c r="U56" s="4" t="s">
        <v>254</v>
      </c>
      <c r="V56" s="4" t="s">
        <v>374</v>
      </c>
      <c r="W56" s="4" t="s">
        <v>258</v>
      </c>
      <c r="X56" s="4" t="s">
        <v>378</v>
      </c>
      <c r="Y56" s="28" t="s">
        <v>122</v>
      </c>
      <c r="Z56" s="28"/>
      <c r="AA56" s="28"/>
      <c r="AB56" s="28"/>
      <c r="AC56" s="28"/>
      <c r="AD56" s="29">
        <v>12345</v>
      </c>
      <c r="AE56" s="29" t="s">
        <v>624</v>
      </c>
      <c r="AF56" s="28" t="s">
        <v>628</v>
      </c>
      <c r="AG56" s="35"/>
      <c r="AH56" s="5"/>
      <c r="AI56" s="5" t="s">
        <v>15</v>
      </c>
      <c r="AJ56" s="5"/>
      <c r="AK56" s="5"/>
      <c r="AL56" s="5"/>
      <c r="AM56" s="5"/>
      <c r="AN56" s="5"/>
      <c r="AO56" s="5"/>
      <c r="AP56" s="5"/>
      <c r="AQ56" s="5"/>
      <c r="AR56" s="5"/>
      <c r="AS56" s="5" t="s">
        <v>106</v>
      </c>
      <c r="AT56" s="5" t="s">
        <v>103</v>
      </c>
      <c r="AU56" s="5" t="s">
        <v>104</v>
      </c>
      <c r="AV56" s="5" t="s">
        <v>122</v>
      </c>
      <c r="AW56" s="5" t="s">
        <v>104</v>
      </c>
      <c r="AX56" s="11" t="s">
        <v>699</v>
      </c>
      <c r="AY56" s="12" t="s">
        <v>121</v>
      </c>
    </row>
    <row r="57" spans="1:53" s="14" customFormat="1" ht="20.25" customHeight="1">
      <c r="A57" s="42">
        <f t="shared" si="2"/>
        <v>54</v>
      </c>
      <c r="B57" s="4" t="s">
        <v>232</v>
      </c>
      <c r="C57" s="4" t="s">
        <v>352</v>
      </c>
      <c r="D57" s="21">
        <v>42423</v>
      </c>
      <c r="E57" s="52"/>
      <c r="F57" s="46"/>
      <c r="G57" s="4" t="s">
        <v>141</v>
      </c>
      <c r="H57" s="4" t="s">
        <v>141</v>
      </c>
      <c r="I57" s="4" t="s">
        <v>141</v>
      </c>
      <c r="J57" s="4" t="s">
        <v>141</v>
      </c>
      <c r="K57" s="4" t="s">
        <v>141</v>
      </c>
      <c r="L57" s="4" t="s">
        <v>141</v>
      </c>
      <c r="M57" s="22"/>
      <c r="N57" s="25" t="s">
        <v>15</v>
      </c>
      <c r="O57" s="25"/>
      <c r="P57" s="25" t="s">
        <v>15</v>
      </c>
      <c r="Q57" s="25"/>
      <c r="R57" s="22"/>
      <c r="S57" s="6" t="s">
        <v>70</v>
      </c>
      <c r="T57" s="4" t="s">
        <v>519</v>
      </c>
      <c r="U57" s="4" t="s">
        <v>255</v>
      </c>
      <c r="V57" s="4" t="s">
        <v>375</v>
      </c>
      <c r="W57" s="4" t="s">
        <v>259</v>
      </c>
      <c r="X57" s="4" t="s">
        <v>379</v>
      </c>
      <c r="Y57" s="28" t="s">
        <v>122</v>
      </c>
      <c r="Z57" s="28"/>
      <c r="AA57" s="28"/>
      <c r="AB57" s="28"/>
      <c r="AC57" s="28"/>
      <c r="AD57" s="29">
        <v>12345</v>
      </c>
      <c r="AE57" s="29" t="s">
        <v>625</v>
      </c>
      <c r="AF57" s="28" t="s">
        <v>629</v>
      </c>
      <c r="AG57" s="35" t="s">
        <v>15</v>
      </c>
      <c r="AH57" s="5"/>
      <c r="AI57" s="5"/>
      <c r="AJ57" s="5"/>
      <c r="AK57" s="5"/>
      <c r="AL57" s="5"/>
      <c r="AM57" s="5"/>
      <c r="AN57" s="5"/>
      <c r="AO57" s="5"/>
      <c r="AP57" s="5"/>
      <c r="AQ57" s="5"/>
      <c r="AR57" s="5"/>
      <c r="AS57" s="5" t="s">
        <v>102</v>
      </c>
      <c r="AT57" s="5" t="s">
        <v>107</v>
      </c>
      <c r="AU57" s="5" t="s">
        <v>104</v>
      </c>
      <c r="AV57" s="5" t="s">
        <v>122</v>
      </c>
      <c r="AW57" s="5" t="s">
        <v>104</v>
      </c>
      <c r="AX57" s="11" t="s">
        <v>700</v>
      </c>
      <c r="AY57" s="12" t="str">
        <f>IFERROR(VLOOKUP(MATCH(" ",AG57:AQ57,-1),'[1]erlaubte Werte'!J$2:K$13,2,0),"")</f>
        <v/>
      </c>
      <c r="AZ57" s="46"/>
      <c r="BA57" s="7"/>
    </row>
    <row r="58" spans="1:53" s="14" customFormat="1" ht="20.25" customHeight="1">
      <c r="A58" s="42">
        <f t="shared" si="2"/>
        <v>55</v>
      </c>
      <c r="B58" s="4" t="s">
        <v>233</v>
      </c>
      <c r="C58" s="4" t="s">
        <v>353</v>
      </c>
      <c r="D58" s="21">
        <v>42424</v>
      </c>
      <c r="E58" s="66"/>
      <c r="F58" s="13"/>
      <c r="G58" s="4" t="s">
        <v>141</v>
      </c>
      <c r="H58" s="4" t="s">
        <v>141</v>
      </c>
      <c r="I58" s="4" t="s">
        <v>141</v>
      </c>
      <c r="J58" s="4" t="s">
        <v>141</v>
      </c>
      <c r="K58" s="4" t="s">
        <v>141</v>
      </c>
      <c r="L58" s="4" t="s">
        <v>141</v>
      </c>
      <c r="M58" s="22"/>
      <c r="N58" s="25" t="s">
        <v>15</v>
      </c>
      <c r="O58" s="25" t="s">
        <v>15</v>
      </c>
      <c r="P58" s="25"/>
      <c r="Q58" s="25"/>
      <c r="R58" s="22"/>
      <c r="S58" s="6" t="s">
        <v>71</v>
      </c>
      <c r="T58" s="4" t="s">
        <v>520</v>
      </c>
      <c r="U58" s="4" t="s">
        <v>256</v>
      </c>
      <c r="V58" s="4" t="s">
        <v>376</v>
      </c>
      <c r="W58" s="4" t="s">
        <v>260</v>
      </c>
      <c r="X58" s="4" t="s">
        <v>380</v>
      </c>
      <c r="Y58" s="28" t="s">
        <v>122</v>
      </c>
      <c r="Z58" s="28"/>
      <c r="AA58" s="28"/>
      <c r="AB58" s="28"/>
      <c r="AC58" s="28"/>
      <c r="AD58" s="29">
        <v>23456</v>
      </c>
      <c r="AE58" s="29" t="s">
        <v>624</v>
      </c>
      <c r="AF58" s="28" t="s">
        <v>630</v>
      </c>
      <c r="AG58" s="35" t="s">
        <v>15</v>
      </c>
      <c r="AH58" s="5"/>
      <c r="AI58" s="5"/>
      <c r="AJ58" s="5"/>
      <c r="AK58" s="5"/>
      <c r="AL58" s="5"/>
      <c r="AM58" s="5"/>
      <c r="AN58" s="5"/>
      <c r="AO58" s="5"/>
      <c r="AP58" s="5"/>
      <c r="AQ58" s="5"/>
      <c r="AR58" s="5"/>
      <c r="AS58" s="5" t="s">
        <v>102</v>
      </c>
      <c r="AT58" s="5" t="s">
        <v>108</v>
      </c>
      <c r="AU58" s="5" t="s">
        <v>104</v>
      </c>
      <c r="AV58" s="5" t="s">
        <v>122</v>
      </c>
      <c r="AW58" s="5" t="s">
        <v>104</v>
      </c>
      <c r="AX58" s="11" t="s">
        <v>701</v>
      </c>
      <c r="AY58" s="12" t="s">
        <v>121</v>
      </c>
      <c r="AZ58" s="13"/>
      <c r="BA58" s="13"/>
    </row>
    <row r="59" spans="1:53" s="14" customFormat="1" ht="20.25" customHeight="1">
      <c r="A59" s="42">
        <f t="shared" si="2"/>
        <v>56</v>
      </c>
      <c r="B59" s="4" t="s">
        <v>234</v>
      </c>
      <c r="C59" s="4" t="s">
        <v>354</v>
      </c>
      <c r="D59" s="21">
        <v>42425</v>
      </c>
      <c r="E59" s="67"/>
      <c r="G59" s="4"/>
      <c r="H59" s="4" t="s">
        <v>141</v>
      </c>
      <c r="I59" s="4" t="s">
        <v>141</v>
      </c>
      <c r="J59" s="4" t="s">
        <v>144</v>
      </c>
      <c r="K59" s="4" t="s">
        <v>144</v>
      </c>
      <c r="L59" s="4" t="s">
        <v>144</v>
      </c>
      <c r="M59" s="22" t="s">
        <v>15</v>
      </c>
      <c r="N59" s="25"/>
      <c r="O59" s="25" t="s">
        <v>15</v>
      </c>
      <c r="P59" s="25"/>
      <c r="Q59" s="25"/>
      <c r="R59" s="22"/>
      <c r="S59" s="6" t="s">
        <v>72</v>
      </c>
      <c r="T59" s="4" t="s">
        <v>521</v>
      </c>
      <c r="U59" s="4" t="s">
        <v>257</v>
      </c>
      <c r="V59" s="4" t="s">
        <v>377</v>
      </c>
      <c r="W59" s="4" t="s">
        <v>261</v>
      </c>
      <c r="X59" s="4" t="s">
        <v>381</v>
      </c>
      <c r="Y59" s="28" t="s">
        <v>122</v>
      </c>
      <c r="Z59" s="28"/>
      <c r="AA59" s="28"/>
      <c r="AB59" s="28"/>
      <c r="AC59" s="28"/>
      <c r="AD59" s="29">
        <v>23456</v>
      </c>
      <c r="AE59" s="29" t="s">
        <v>625</v>
      </c>
      <c r="AF59" s="28" t="s">
        <v>626</v>
      </c>
      <c r="AG59" s="35"/>
      <c r="AH59" s="5" t="s">
        <v>15</v>
      </c>
      <c r="AI59" s="5"/>
      <c r="AJ59" s="5"/>
      <c r="AK59" s="5"/>
      <c r="AL59" s="5"/>
      <c r="AM59" s="5"/>
      <c r="AN59" s="5"/>
      <c r="AO59" s="5"/>
      <c r="AP59" s="5"/>
      <c r="AQ59" s="5"/>
      <c r="AR59" s="5"/>
      <c r="AS59" s="5" t="s">
        <v>111</v>
      </c>
      <c r="AT59" s="5" t="s">
        <v>103</v>
      </c>
      <c r="AU59" s="5" t="s">
        <v>104</v>
      </c>
      <c r="AV59" s="5" t="s">
        <v>122</v>
      </c>
      <c r="AW59" s="5" t="s">
        <v>104</v>
      </c>
      <c r="AX59" s="11" t="s">
        <v>702</v>
      </c>
      <c r="AY59" s="12" t="s">
        <v>121</v>
      </c>
    </row>
    <row r="60" spans="1:53" s="13" customFormat="1" ht="20.25" customHeight="1">
      <c r="A60" s="42">
        <f t="shared" si="2"/>
        <v>57</v>
      </c>
      <c r="B60" s="4" t="s">
        <v>235</v>
      </c>
      <c r="C60" s="4" t="s">
        <v>355</v>
      </c>
      <c r="D60" s="21">
        <v>42426</v>
      </c>
      <c r="E60" s="67"/>
      <c r="F60" s="14"/>
      <c r="G60" s="4"/>
      <c r="H60" s="4" t="s">
        <v>141</v>
      </c>
      <c r="I60" s="4" t="s">
        <v>144</v>
      </c>
      <c r="J60" s="4" t="s">
        <v>143</v>
      </c>
      <c r="K60" s="4" t="s">
        <v>143</v>
      </c>
      <c r="L60" s="4" t="s">
        <v>144</v>
      </c>
      <c r="M60" s="22" t="s">
        <v>15</v>
      </c>
      <c r="N60" s="25"/>
      <c r="O60" s="25" t="s">
        <v>15</v>
      </c>
      <c r="P60" s="25"/>
      <c r="Q60" s="25"/>
      <c r="R60" s="22"/>
      <c r="S60" s="6" t="s">
        <v>73</v>
      </c>
      <c r="T60" s="4" t="s">
        <v>522</v>
      </c>
      <c r="U60" s="4" t="s">
        <v>258</v>
      </c>
      <c r="V60" s="4" t="s">
        <v>378</v>
      </c>
      <c r="W60" s="4" t="s">
        <v>262</v>
      </c>
      <c r="X60" s="4" t="s">
        <v>382</v>
      </c>
      <c r="Y60" s="28" t="s">
        <v>122</v>
      </c>
      <c r="Z60" s="28"/>
      <c r="AA60" s="28"/>
      <c r="AB60" s="28"/>
      <c r="AC60" s="28"/>
      <c r="AD60" s="29">
        <v>12345</v>
      </c>
      <c r="AE60" s="29" t="s">
        <v>624</v>
      </c>
      <c r="AF60" s="28" t="s">
        <v>627</v>
      </c>
      <c r="AG60" s="35"/>
      <c r="AH60" s="5"/>
      <c r="AI60" s="5"/>
      <c r="AJ60" s="5"/>
      <c r="AK60" s="5"/>
      <c r="AL60" s="5"/>
      <c r="AM60" s="5"/>
      <c r="AN60" s="5" t="s">
        <v>15</v>
      </c>
      <c r="AO60" s="5"/>
      <c r="AP60" s="5"/>
      <c r="AQ60" s="5"/>
      <c r="AR60" s="5"/>
      <c r="AS60" s="5">
        <v>4</v>
      </c>
      <c r="AT60" s="5" t="s">
        <v>103</v>
      </c>
      <c r="AU60" s="5" t="s">
        <v>104</v>
      </c>
      <c r="AV60" s="5" t="s">
        <v>122</v>
      </c>
      <c r="AW60" s="5" t="s">
        <v>104</v>
      </c>
      <c r="AX60" s="11" t="s">
        <v>703</v>
      </c>
      <c r="AY60" s="12" t="s">
        <v>121</v>
      </c>
      <c r="AZ60" s="14"/>
      <c r="BA60" s="14"/>
    </row>
    <row r="61" spans="1:53" s="14" customFormat="1" ht="20.25" customHeight="1">
      <c r="A61" s="42">
        <f t="shared" si="2"/>
        <v>58</v>
      </c>
      <c r="B61" s="4" t="s">
        <v>236</v>
      </c>
      <c r="C61" s="4" t="s">
        <v>356</v>
      </c>
      <c r="D61" s="21">
        <v>42427</v>
      </c>
      <c r="E61" s="52"/>
      <c r="F61" s="46"/>
      <c r="G61" s="4"/>
      <c r="H61" s="4" t="s">
        <v>144</v>
      </c>
      <c r="I61" s="4" t="s">
        <v>144</v>
      </c>
      <c r="J61" s="4" t="s">
        <v>143</v>
      </c>
      <c r="K61" s="4" t="s">
        <v>143</v>
      </c>
      <c r="L61" s="4" t="s">
        <v>142</v>
      </c>
      <c r="M61" s="22"/>
      <c r="N61" s="25" t="s">
        <v>15</v>
      </c>
      <c r="O61" s="25"/>
      <c r="P61" s="25" t="s">
        <v>15</v>
      </c>
      <c r="Q61" s="25"/>
      <c r="R61" s="22"/>
      <c r="S61" s="6" t="s">
        <v>74</v>
      </c>
      <c r="T61" s="4" t="s">
        <v>523</v>
      </c>
      <c r="U61" s="4" t="s">
        <v>259</v>
      </c>
      <c r="V61" s="4" t="s">
        <v>379</v>
      </c>
      <c r="W61" s="4" t="s">
        <v>263</v>
      </c>
      <c r="X61" s="4" t="s">
        <v>383</v>
      </c>
      <c r="Y61" s="28" t="s">
        <v>122</v>
      </c>
      <c r="Z61" s="28"/>
      <c r="AA61" s="28"/>
      <c r="AB61" s="28"/>
      <c r="AC61" s="28"/>
      <c r="AD61" s="29">
        <v>12345</v>
      </c>
      <c r="AE61" s="29" t="s">
        <v>625</v>
      </c>
      <c r="AF61" s="28" t="s">
        <v>628</v>
      </c>
      <c r="AG61" s="35"/>
      <c r="AH61" s="5" t="s">
        <v>15</v>
      </c>
      <c r="AI61" s="5"/>
      <c r="AJ61" s="5"/>
      <c r="AK61" s="5"/>
      <c r="AL61" s="5"/>
      <c r="AM61" s="5"/>
      <c r="AN61" s="5"/>
      <c r="AO61" s="5"/>
      <c r="AP61" s="5"/>
      <c r="AQ61" s="5"/>
      <c r="AR61" s="5"/>
      <c r="AS61" s="5" t="s">
        <v>106</v>
      </c>
      <c r="AT61" s="5" t="s">
        <v>103</v>
      </c>
      <c r="AU61" s="5" t="s">
        <v>104</v>
      </c>
      <c r="AV61" s="5" t="s">
        <v>122</v>
      </c>
      <c r="AW61" s="5" t="s">
        <v>115</v>
      </c>
      <c r="AX61" s="11" t="s">
        <v>704</v>
      </c>
      <c r="AY61" s="12" t="str">
        <f>IFERROR(VLOOKUP(MATCH(" ",AG61:AQ61,-1),'[1]erlaubte Werte'!J$2:K$13,2,0),"")</f>
        <v/>
      </c>
      <c r="AZ61" s="46"/>
      <c r="BA61" s="7"/>
    </row>
    <row r="62" spans="1:53" s="14" customFormat="1" ht="20.25" customHeight="1">
      <c r="A62" s="42">
        <f t="shared" si="2"/>
        <v>59</v>
      </c>
      <c r="B62" s="4" t="s">
        <v>237</v>
      </c>
      <c r="C62" s="4" t="s">
        <v>357</v>
      </c>
      <c r="D62" s="21">
        <v>42428</v>
      </c>
      <c r="E62" s="42"/>
      <c r="F62" s="12"/>
      <c r="G62" s="4"/>
      <c r="H62" s="4" t="s">
        <v>142</v>
      </c>
      <c r="I62" s="4" t="s">
        <v>144</v>
      </c>
      <c r="J62" s="4" t="s">
        <v>141</v>
      </c>
      <c r="K62" s="4" t="s">
        <v>141</v>
      </c>
      <c r="L62" s="4" t="s">
        <v>141</v>
      </c>
      <c r="M62" s="22"/>
      <c r="N62" s="25" t="s">
        <v>15</v>
      </c>
      <c r="O62" s="25" t="s">
        <v>15</v>
      </c>
      <c r="P62" s="25"/>
      <c r="Q62" s="25"/>
      <c r="R62" s="22"/>
      <c r="S62" s="6" t="s">
        <v>75</v>
      </c>
      <c r="T62" s="4" t="s">
        <v>524</v>
      </c>
      <c r="U62" s="4" t="s">
        <v>260</v>
      </c>
      <c r="V62" s="4" t="s">
        <v>380</v>
      </c>
      <c r="W62" s="4" t="s">
        <v>264</v>
      </c>
      <c r="X62" s="4" t="s">
        <v>384</v>
      </c>
      <c r="Y62" s="28" t="s">
        <v>122</v>
      </c>
      <c r="Z62" s="28"/>
      <c r="AA62" s="28"/>
      <c r="AB62" s="28"/>
      <c r="AC62" s="28"/>
      <c r="AD62" s="29">
        <v>23456</v>
      </c>
      <c r="AE62" s="29" t="s">
        <v>624</v>
      </c>
      <c r="AF62" s="28" t="s">
        <v>629</v>
      </c>
      <c r="AG62" s="35" t="s">
        <v>15</v>
      </c>
      <c r="AH62" s="5"/>
      <c r="AI62" s="5"/>
      <c r="AJ62" s="5"/>
      <c r="AK62" s="5"/>
      <c r="AL62" s="5"/>
      <c r="AM62" s="5"/>
      <c r="AN62" s="5"/>
      <c r="AO62" s="5"/>
      <c r="AP62" s="5"/>
      <c r="AQ62" s="5"/>
      <c r="AR62" s="5"/>
      <c r="AS62" s="5" t="s">
        <v>102</v>
      </c>
      <c r="AT62" s="5" t="s">
        <v>103</v>
      </c>
      <c r="AU62" s="5" t="s">
        <v>104</v>
      </c>
      <c r="AV62" s="5" t="s">
        <v>122</v>
      </c>
      <c r="AW62" s="5" t="s">
        <v>104</v>
      </c>
      <c r="AX62" s="11" t="s">
        <v>705</v>
      </c>
      <c r="AY62" s="12" t="s">
        <v>121</v>
      </c>
      <c r="AZ62" s="12"/>
      <c r="BA62" s="12"/>
    </row>
    <row r="63" spans="1:53" s="14" customFormat="1" ht="20.25" customHeight="1">
      <c r="A63" s="42">
        <f t="shared" si="2"/>
        <v>60</v>
      </c>
      <c r="B63" s="4" t="s">
        <v>238</v>
      </c>
      <c r="C63" s="4" t="s">
        <v>358</v>
      </c>
      <c r="D63" s="21">
        <v>42429</v>
      </c>
      <c r="E63" s="67"/>
      <c r="G63" s="4"/>
      <c r="H63" s="4" t="s">
        <v>144</v>
      </c>
      <c r="I63" s="4" t="s">
        <v>143</v>
      </c>
      <c r="J63" s="4" t="s">
        <v>142</v>
      </c>
      <c r="K63" s="4" t="s">
        <v>142</v>
      </c>
      <c r="L63" s="4" t="s">
        <v>142</v>
      </c>
      <c r="M63" s="22"/>
      <c r="N63" s="25" t="s">
        <v>15</v>
      </c>
      <c r="O63" s="25" t="s">
        <v>15</v>
      </c>
      <c r="P63" s="25"/>
      <c r="Q63" s="25"/>
      <c r="R63" s="22"/>
      <c r="S63" s="6" t="s">
        <v>76</v>
      </c>
      <c r="T63" s="4" t="s">
        <v>525</v>
      </c>
      <c r="U63" s="4" t="s">
        <v>261</v>
      </c>
      <c r="V63" s="4" t="s">
        <v>381</v>
      </c>
      <c r="W63" s="4" t="s">
        <v>265</v>
      </c>
      <c r="X63" s="4" t="s">
        <v>385</v>
      </c>
      <c r="Y63" s="28" t="s">
        <v>122</v>
      </c>
      <c r="Z63" s="28"/>
      <c r="AA63" s="28"/>
      <c r="AB63" s="28"/>
      <c r="AC63" s="28"/>
      <c r="AD63" s="29">
        <v>23456</v>
      </c>
      <c r="AE63" s="29" t="s">
        <v>625</v>
      </c>
      <c r="AF63" s="28" t="s">
        <v>630</v>
      </c>
      <c r="AG63" s="35"/>
      <c r="AH63" s="5"/>
      <c r="AI63" s="5"/>
      <c r="AJ63" s="5" t="s">
        <v>15</v>
      </c>
      <c r="AK63" s="5"/>
      <c r="AL63" s="5"/>
      <c r="AM63" s="5"/>
      <c r="AN63" s="5"/>
      <c r="AO63" s="5"/>
      <c r="AP63" s="5"/>
      <c r="AQ63" s="5"/>
      <c r="AR63" s="5"/>
      <c r="AS63" s="5" t="s">
        <v>106</v>
      </c>
      <c r="AT63" s="5" t="s">
        <v>103</v>
      </c>
      <c r="AU63" s="5" t="s">
        <v>104</v>
      </c>
      <c r="AV63" s="5" t="s">
        <v>122</v>
      </c>
      <c r="AW63" s="5" t="s">
        <v>104</v>
      </c>
      <c r="AX63" s="11" t="s">
        <v>706</v>
      </c>
      <c r="AY63" s="12" t="s">
        <v>121</v>
      </c>
    </row>
    <row r="64" spans="1:53" s="14" customFormat="1" ht="20.25" customHeight="1">
      <c r="A64" s="42">
        <f t="shared" si="2"/>
        <v>61</v>
      </c>
      <c r="B64" s="4" t="s">
        <v>239</v>
      </c>
      <c r="C64" s="4" t="s">
        <v>359</v>
      </c>
      <c r="D64" s="21">
        <v>42430</v>
      </c>
      <c r="E64" s="67"/>
      <c r="G64" s="4"/>
      <c r="H64" s="4" t="s">
        <v>142</v>
      </c>
      <c r="I64" s="4" t="s">
        <v>141</v>
      </c>
      <c r="J64" s="4" t="s">
        <v>144</v>
      </c>
      <c r="K64" s="4" t="s">
        <v>144</v>
      </c>
      <c r="L64" s="4" t="s">
        <v>144</v>
      </c>
      <c r="M64" s="22"/>
      <c r="N64" s="25" t="s">
        <v>15</v>
      </c>
      <c r="O64" s="25" t="s">
        <v>15</v>
      </c>
      <c r="P64" s="25"/>
      <c r="Q64" s="25"/>
      <c r="R64" s="22"/>
      <c r="S64" s="6" t="s">
        <v>77</v>
      </c>
      <c r="T64" s="4" t="s">
        <v>526</v>
      </c>
      <c r="U64" s="4" t="s">
        <v>262</v>
      </c>
      <c r="V64" s="4" t="s">
        <v>382</v>
      </c>
      <c r="W64" s="4" t="s">
        <v>266</v>
      </c>
      <c r="X64" s="4" t="s">
        <v>386</v>
      </c>
      <c r="Y64" s="28" t="s">
        <v>122</v>
      </c>
      <c r="Z64" s="28"/>
      <c r="AA64" s="28"/>
      <c r="AB64" s="28"/>
      <c r="AC64" s="28"/>
      <c r="AD64" s="29">
        <v>12345</v>
      </c>
      <c r="AE64" s="29" t="s">
        <v>624</v>
      </c>
      <c r="AF64" s="28" t="s">
        <v>626</v>
      </c>
      <c r="AG64" s="35"/>
      <c r="AH64" s="5"/>
      <c r="AI64" s="5"/>
      <c r="AJ64" s="5" t="s">
        <v>15</v>
      </c>
      <c r="AK64" s="5"/>
      <c r="AL64" s="5"/>
      <c r="AM64" s="5"/>
      <c r="AN64" s="5"/>
      <c r="AO64" s="5"/>
      <c r="AP64" s="5"/>
      <c r="AQ64" s="5"/>
      <c r="AR64" s="5"/>
      <c r="AS64" s="5" t="s">
        <v>106</v>
      </c>
      <c r="AT64" s="5" t="s">
        <v>108</v>
      </c>
      <c r="AU64" s="5" t="s">
        <v>104</v>
      </c>
      <c r="AV64" s="5" t="s">
        <v>132</v>
      </c>
      <c r="AW64" s="5" t="s">
        <v>104</v>
      </c>
      <c r="AX64" s="11" t="s">
        <v>707</v>
      </c>
      <c r="AY64" s="12" t="s">
        <v>121</v>
      </c>
    </row>
    <row r="65" spans="1:53" s="14" customFormat="1" ht="20.25" customHeight="1">
      <c r="A65" s="42">
        <f t="shared" si="2"/>
        <v>62</v>
      </c>
      <c r="B65" s="4" t="s">
        <v>240</v>
      </c>
      <c r="C65" s="4" t="s">
        <v>360</v>
      </c>
      <c r="D65" s="21">
        <v>42431</v>
      </c>
      <c r="E65" s="47"/>
      <c r="F65" s="15"/>
      <c r="G65" s="4"/>
      <c r="H65" s="4" t="s">
        <v>143</v>
      </c>
      <c r="I65" s="4" t="s">
        <v>142</v>
      </c>
      <c r="J65" s="4" t="s">
        <v>142</v>
      </c>
      <c r="K65" s="4" t="s">
        <v>142</v>
      </c>
      <c r="L65" s="4" t="s">
        <v>142</v>
      </c>
      <c r="M65" s="22" t="s">
        <v>15</v>
      </c>
      <c r="N65" s="25"/>
      <c r="O65" s="25" t="s">
        <v>15</v>
      </c>
      <c r="P65" s="25"/>
      <c r="Q65" s="25"/>
      <c r="R65" s="22"/>
      <c r="S65" s="6" t="s">
        <v>78</v>
      </c>
      <c r="T65" s="4" t="s">
        <v>527</v>
      </c>
      <c r="U65" s="4" t="s">
        <v>263</v>
      </c>
      <c r="V65" s="4" t="s">
        <v>383</v>
      </c>
      <c r="W65" s="4" t="s">
        <v>267</v>
      </c>
      <c r="X65" s="4" t="s">
        <v>387</v>
      </c>
      <c r="Y65" s="28" t="s">
        <v>122</v>
      </c>
      <c r="Z65" s="28"/>
      <c r="AA65" s="28"/>
      <c r="AB65" s="28"/>
      <c r="AC65" s="28"/>
      <c r="AD65" s="29">
        <v>12345</v>
      </c>
      <c r="AE65" s="29" t="s">
        <v>625</v>
      </c>
      <c r="AF65" s="28" t="s">
        <v>627</v>
      </c>
      <c r="AG65" s="35"/>
      <c r="AH65" s="5" t="s">
        <v>15</v>
      </c>
      <c r="AI65" s="5"/>
      <c r="AJ65" s="5"/>
      <c r="AK65" s="5"/>
      <c r="AL65" s="5"/>
      <c r="AM65" s="5"/>
      <c r="AN65" s="5"/>
      <c r="AO65" s="5"/>
      <c r="AP65" s="5"/>
      <c r="AQ65" s="5"/>
      <c r="AR65" s="5"/>
      <c r="AS65" s="5" t="s">
        <v>102</v>
      </c>
      <c r="AT65" s="5" t="s">
        <v>107</v>
      </c>
      <c r="AU65" s="5" t="s">
        <v>104</v>
      </c>
      <c r="AV65" s="5" t="s">
        <v>122</v>
      </c>
      <c r="AW65" s="5" t="s">
        <v>104</v>
      </c>
      <c r="AX65" s="11" t="s">
        <v>708</v>
      </c>
      <c r="AY65" s="12" t="s">
        <v>121</v>
      </c>
      <c r="AZ65" s="15"/>
      <c r="BA65" s="15"/>
    </row>
    <row r="66" spans="1:53" s="14" customFormat="1" ht="20.25" customHeight="1">
      <c r="A66" s="42">
        <f t="shared" si="2"/>
        <v>63</v>
      </c>
      <c r="B66" s="4" t="s">
        <v>241</v>
      </c>
      <c r="C66" s="4" t="s">
        <v>361</v>
      </c>
      <c r="D66" s="21">
        <v>42432</v>
      </c>
      <c r="E66" s="67"/>
      <c r="G66" s="4"/>
      <c r="H66" s="4" t="s">
        <v>142</v>
      </c>
      <c r="I66" s="4" t="s">
        <v>144</v>
      </c>
      <c r="J66" s="4" t="s">
        <v>144</v>
      </c>
      <c r="K66" s="4" t="s">
        <v>144</v>
      </c>
      <c r="L66" s="4" t="s">
        <v>144</v>
      </c>
      <c r="M66" s="22" t="s">
        <v>15</v>
      </c>
      <c r="N66" s="25"/>
      <c r="O66" s="25" t="s">
        <v>15</v>
      </c>
      <c r="P66" s="25"/>
      <c r="Q66" s="25"/>
      <c r="R66" s="22"/>
      <c r="S66" s="6" t="s">
        <v>79</v>
      </c>
      <c r="T66" s="4" t="s">
        <v>528</v>
      </c>
      <c r="U66" s="4" t="s">
        <v>264</v>
      </c>
      <c r="V66" s="4" t="s">
        <v>384</v>
      </c>
      <c r="W66" s="4" t="s">
        <v>268</v>
      </c>
      <c r="X66" s="4" t="s">
        <v>388</v>
      </c>
      <c r="Y66" s="28" t="s">
        <v>122</v>
      </c>
      <c r="Z66" s="28"/>
      <c r="AA66" s="28"/>
      <c r="AB66" s="28"/>
      <c r="AC66" s="28"/>
      <c r="AD66" s="29">
        <v>23456</v>
      </c>
      <c r="AE66" s="29" t="s">
        <v>624</v>
      </c>
      <c r="AF66" s="28" t="s">
        <v>628</v>
      </c>
      <c r="AG66" s="35"/>
      <c r="AH66" s="5"/>
      <c r="AI66" s="5"/>
      <c r="AJ66" s="5"/>
      <c r="AK66" s="5" t="s">
        <v>15</v>
      </c>
      <c r="AL66" s="5"/>
      <c r="AM66" s="5"/>
      <c r="AN66" s="5"/>
      <c r="AO66" s="5"/>
      <c r="AP66" s="5"/>
      <c r="AQ66" s="5"/>
      <c r="AR66" s="5"/>
      <c r="AS66" s="5" t="s">
        <v>106</v>
      </c>
      <c r="AT66" s="5" t="s">
        <v>103</v>
      </c>
      <c r="AU66" s="5" t="s">
        <v>104</v>
      </c>
      <c r="AV66" s="5" t="s">
        <v>122</v>
      </c>
      <c r="AW66" s="5" t="s">
        <v>104</v>
      </c>
      <c r="AX66" s="11" t="s">
        <v>709</v>
      </c>
      <c r="AY66" s="12" t="s">
        <v>121</v>
      </c>
    </row>
    <row r="67" spans="1:53" s="14" customFormat="1" ht="20.25" customHeight="1">
      <c r="A67" s="42">
        <f t="shared" si="2"/>
        <v>64</v>
      </c>
      <c r="B67" s="4" t="s">
        <v>242</v>
      </c>
      <c r="C67" s="4" t="s">
        <v>362</v>
      </c>
      <c r="D67" s="21">
        <v>42433</v>
      </c>
      <c r="E67" s="52"/>
      <c r="F67" s="46"/>
      <c r="G67" s="4"/>
      <c r="H67" s="4" t="s">
        <v>143</v>
      </c>
      <c r="I67" s="4" t="s">
        <v>142</v>
      </c>
      <c r="J67" s="4" t="s">
        <v>143</v>
      </c>
      <c r="K67" s="4" t="s">
        <v>143</v>
      </c>
      <c r="L67" s="4" t="s">
        <v>143</v>
      </c>
      <c r="M67" s="22" t="s">
        <v>15</v>
      </c>
      <c r="N67" s="25"/>
      <c r="O67" s="25"/>
      <c r="P67" s="25" t="s">
        <v>15</v>
      </c>
      <c r="Q67" s="25"/>
      <c r="R67" s="22"/>
      <c r="S67" s="6" t="s">
        <v>80</v>
      </c>
      <c r="T67" s="4" t="s">
        <v>529</v>
      </c>
      <c r="U67" s="4" t="s">
        <v>265</v>
      </c>
      <c r="V67" s="4" t="s">
        <v>385</v>
      </c>
      <c r="W67" s="4" t="s">
        <v>269</v>
      </c>
      <c r="X67" s="4" t="s">
        <v>389</v>
      </c>
      <c r="Y67" s="28" t="s">
        <v>470</v>
      </c>
      <c r="Z67" s="4"/>
      <c r="AA67" s="4"/>
      <c r="AB67" s="28"/>
      <c r="AC67" s="28"/>
      <c r="AD67" s="29">
        <v>23456</v>
      </c>
      <c r="AE67" s="29" t="s">
        <v>625</v>
      </c>
      <c r="AF67" s="28" t="s">
        <v>629</v>
      </c>
      <c r="AG67" s="35" t="s">
        <v>15</v>
      </c>
      <c r="AH67" s="5"/>
      <c r="AI67" s="5"/>
      <c r="AJ67" s="5"/>
      <c r="AK67" s="5"/>
      <c r="AL67" s="5"/>
      <c r="AM67" s="5"/>
      <c r="AN67" s="5"/>
      <c r="AO67" s="5"/>
      <c r="AP67" s="5"/>
      <c r="AQ67" s="5"/>
      <c r="AR67" s="5"/>
      <c r="AS67" s="5" t="s">
        <v>106</v>
      </c>
      <c r="AT67" s="5" t="s">
        <v>103</v>
      </c>
      <c r="AU67" s="5" t="s">
        <v>104</v>
      </c>
      <c r="AV67" s="5" t="s">
        <v>122</v>
      </c>
      <c r="AW67" s="5" t="s">
        <v>104</v>
      </c>
      <c r="AX67" s="11" t="s">
        <v>710</v>
      </c>
      <c r="AY67" s="12" t="str">
        <f>IFERROR(VLOOKUP(MATCH(" ",AG67:AQ67,-1),'[1]erlaubte Werte'!J$2:K$13,2,0),"")</f>
        <v/>
      </c>
      <c r="AZ67" s="46"/>
      <c r="BA67" s="7"/>
    </row>
    <row r="68" spans="1:53" s="14" customFormat="1" ht="20.25" customHeight="1">
      <c r="A68" s="42">
        <f t="shared" ref="A68:A99" si="3">ROW(B68)-3</f>
        <v>65</v>
      </c>
      <c r="B68" s="4" t="s">
        <v>243</v>
      </c>
      <c r="C68" s="4" t="s">
        <v>363</v>
      </c>
      <c r="D68" s="21">
        <v>42434</v>
      </c>
      <c r="E68" s="67"/>
      <c r="G68" s="4"/>
      <c r="H68" s="4" t="s">
        <v>144</v>
      </c>
      <c r="I68" s="4" t="s">
        <v>141</v>
      </c>
      <c r="J68" s="4" t="s">
        <v>142</v>
      </c>
      <c r="K68" s="4" t="s">
        <v>142</v>
      </c>
      <c r="L68" s="4" t="s">
        <v>142</v>
      </c>
      <c r="M68" s="22" t="s">
        <v>15</v>
      </c>
      <c r="N68" s="25"/>
      <c r="O68" s="25" t="s">
        <v>15</v>
      </c>
      <c r="P68" s="25"/>
      <c r="Q68" s="25"/>
      <c r="R68" s="22"/>
      <c r="S68" s="6" t="s">
        <v>81</v>
      </c>
      <c r="T68" s="4" t="s">
        <v>530</v>
      </c>
      <c r="U68" s="4" t="s">
        <v>266</v>
      </c>
      <c r="V68" s="4" t="s">
        <v>386</v>
      </c>
      <c r="W68" s="4" t="s">
        <v>270</v>
      </c>
      <c r="X68" s="4" t="s">
        <v>390</v>
      </c>
      <c r="Y68" s="28" t="s">
        <v>122</v>
      </c>
      <c r="Z68" s="4"/>
      <c r="AA68" s="4"/>
      <c r="AB68" s="28"/>
      <c r="AC68" s="28"/>
      <c r="AD68" s="29">
        <v>12345</v>
      </c>
      <c r="AE68" s="29" t="s">
        <v>624</v>
      </c>
      <c r="AF68" s="28" t="s">
        <v>630</v>
      </c>
      <c r="AG68" s="35"/>
      <c r="AH68" s="5"/>
      <c r="AI68" s="5"/>
      <c r="AJ68" s="5"/>
      <c r="AK68" s="5" t="s">
        <v>112</v>
      </c>
      <c r="AL68" s="5"/>
      <c r="AM68" s="5"/>
      <c r="AN68" s="5"/>
      <c r="AO68" s="5"/>
      <c r="AP68" s="5"/>
      <c r="AQ68" s="5"/>
      <c r="AR68" s="5"/>
      <c r="AS68" s="5" t="s">
        <v>111</v>
      </c>
      <c r="AT68" s="5" t="s">
        <v>108</v>
      </c>
      <c r="AU68" s="5" t="s">
        <v>104</v>
      </c>
      <c r="AV68" s="5" t="s">
        <v>122</v>
      </c>
      <c r="AW68" s="5" t="s">
        <v>104</v>
      </c>
      <c r="AX68" s="11" t="s">
        <v>711</v>
      </c>
      <c r="AY68" s="12" t="s">
        <v>121</v>
      </c>
    </row>
    <row r="69" spans="1:53" s="14" customFormat="1" ht="20.25" customHeight="1">
      <c r="A69" s="42">
        <f t="shared" si="3"/>
        <v>66</v>
      </c>
      <c r="B69" s="4" t="s">
        <v>244</v>
      </c>
      <c r="C69" s="4" t="s">
        <v>364</v>
      </c>
      <c r="D69" s="21">
        <v>42435</v>
      </c>
      <c r="E69" s="42"/>
      <c r="F69" s="12"/>
      <c r="G69" s="4"/>
      <c r="H69" s="4" t="s">
        <v>144</v>
      </c>
      <c r="I69" s="4" t="s">
        <v>142</v>
      </c>
      <c r="J69" s="4" t="s">
        <v>142</v>
      </c>
      <c r="K69" s="4" t="s">
        <v>143</v>
      </c>
      <c r="L69" s="4" t="s">
        <v>143</v>
      </c>
      <c r="M69" s="22" t="s">
        <v>15</v>
      </c>
      <c r="N69" s="25"/>
      <c r="O69" s="25" t="s">
        <v>15</v>
      </c>
      <c r="P69" s="25"/>
      <c r="Q69" s="25"/>
      <c r="R69" s="22"/>
      <c r="S69" s="6" t="s">
        <v>82</v>
      </c>
      <c r="T69" s="4" t="s">
        <v>531</v>
      </c>
      <c r="U69" s="4" t="s">
        <v>267</v>
      </c>
      <c r="V69" s="4" t="s">
        <v>387</v>
      </c>
      <c r="W69" s="4" t="s">
        <v>271</v>
      </c>
      <c r="X69" s="4" t="s">
        <v>391</v>
      </c>
      <c r="Y69" s="28" t="s">
        <v>122</v>
      </c>
      <c r="Z69" s="28"/>
      <c r="AA69" s="28"/>
      <c r="AB69" s="28"/>
      <c r="AC69" s="28"/>
      <c r="AD69" s="29">
        <v>12345</v>
      </c>
      <c r="AE69" s="29" t="s">
        <v>625</v>
      </c>
      <c r="AF69" s="28" t="s">
        <v>626</v>
      </c>
      <c r="AG69" s="35"/>
      <c r="AH69" s="5"/>
      <c r="AI69" s="5"/>
      <c r="AJ69" s="5"/>
      <c r="AK69" s="5" t="s">
        <v>112</v>
      </c>
      <c r="AL69" s="5"/>
      <c r="AM69" s="5"/>
      <c r="AN69" s="5"/>
      <c r="AO69" s="5"/>
      <c r="AP69" s="5"/>
      <c r="AQ69" s="5"/>
      <c r="AR69" s="5"/>
      <c r="AS69" s="5" t="s">
        <v>111</v>
      </c>
      <c r="AT69" s="5" t="s">
        <v>108</v>
      </c>
      <c r="AU69" s="5" t="s">
        <v>104</v>
      </c>
      <c r="AV69" s="5" t="s">
        <v>122</v>
      </c>
      <c r="AW69" s="5" t="s">
        <v>104</v>
      </c>
      <c r="AX69" s="11" t="s">
        <v>712</v>
      </c>
      <c r="AY69" s="12" t="s">
        <v>121</v>
      </c>
      <c r="AZ69" s="12"/>
      <c r="BA69" s="12"/>
    </row>
    <row r="70" spans="1:53" s="14" customFormat="1" ht="20.25" customHeight="1">
      <c r="A70" s="42">
        <f t="shared" si="3"/>
        <v>67</v>
      </c>
      <c r="B70" s="4" t="s">
        <v>245</v>
      </c>
      <c r="C70" s="4" t="s">
        <v>365</v>
      </c>
      <c r="D70" s="21">
        <v>42436</v>
      </c>
      <c r="E70" s="52"/>
      <c r="F70" s="46"/>
      <c r="G70" s="4"/>
      <c r="H70" s="4" t="s">
        <v>142</v>
      </c>
      <c r="I70" s="4" t="s">
        <v>144</v>
      </c>
      <c r="J70" s="4" t="s">
        <v>143</v>
      </c>
      <c r="K70" s="4" t="s">
        <v>143</v>
      </c>
      <c r="L70" s="4" t="s">
        <v>143</v>
      </c>
      <c r="M70" s="22"/>
      <c r="N70" s="25" t="s">
        <v>15</v>
      </c>
      <c r="O70" s="25"/>
      <c r="P70" s="25" t="s">
        <v>15</v>
      </c>
      <c r="Q70" s="25"/>
      <c r="R70" s="22"/>
      <c r="S70" s="6" t="s">
        <v>83</v>
      </c>
      <c r="T70" s="4" t="s">
        <v>532</v>
      </c>
      <c r="U70" s="4" t="s">
        <v>268</v>
      </c>
      <c r="V70" s="4" t="s">
        <v>388</v>
      </c>
      <c r="W70" s="4" t="s">
        <v>272</v>
      </c>
      <c r="X70" s="4" t="s">
        <v>392</v>
      </c>
      <c r="Y70" s="28" t="s">
        <v>122</v>
      </c>
      <c r="Z70" s="28"/>
      <c r="AA70" s="28"/>
      <c r="AB70" s="28"/>
      <c r="AC70" s="28"/>
      <c r="AD70" s="29">
        <v>23456</v>
      </c>
      <c r="AE70" s="29" t="s">
        <v>624</v>
      </c>
      <c r="AF70" s="28" t="s">
        <v>627</v>
      </c>
      <c r="AG70" s="35"/>
      <c r="AH70" s="5"/>
      <c r="AI70" s="5"/>
      <c r="AJ70" s="5"/>
      <c r="AK70" s="5" t="s">
        <v>15</v>
      </c>
      <c r="AL70" s="5"/>
      <c r="AM70" s="5"/>
      <c r="AN70" s="5"/>
      <c r="AO70" s="5"/>
      <c r="AP70" s="5"/>
      <c r="AQ70" s="5"/>
      <c r="AR70" s="5"/>
      <c r="AS70" s="5" t="s">
        <v>102</v>
      </c>
      <c r="AT70" s="5" t="s">
        <v>108</v>
      </c>
      <c r="AU70" s="5" t="s">
        <v>104</v>
      </c>
      <c r="AV70" s="5" t="s">
        <v>122</v>
      </c>
      <c r="AW70" s="5" t="s">
        <v>104</v>
      </c>
      <c r="AX70" s="11" t="s">
        <v>713</v>
      </c>
      <c r="AY70" s="12" t="str">
        <f>IFERROR(VLOOKUP(MATCH(" ",AG70:AQ70,-1),'[1]erlaubte Werte'!J$2:K$13,2,0),"")</f>
        <v/>
      </c>
      <c r="AZ70" s="46"/>
      <c r="BA70" s="7"/>
    </row>
    <row r="71" spans="1:53" s="14" customFormat="1" ht="20.25" customHeight="1">
      <c r="A71" s="42">
        <f t="shared" si="3"/>
        <v>68</v>
      </c>
      <c r="B71" s="4" t="s">
        <v>246</v>
      </c>
      <c r="C71" s="4" t="s">
        <v>366</v>
      </c>
      <c r="D71" s="21">
        <v>42437</v>
      </c>
      <c r="E71" s="67"/>
      <c r="G71" s="4"/>
      <c r="H71" s="4" t="s">
        <v>141</v>
      </c>
      <c r="I71" s="4" t="s">
        <v>143</v>
      </c>
      <c r="J71" s="4" t="s">
        <v>141</v>
      </c>
      <c r="K71" s="4" t="s">
        <v>142</v>
      </c>
      <c r="L71" s="4" t="s">
        <v>141</v>
      </c>
      <c r="M71" s="22"/>
      <c r="N71" s="25" t="s">
        <v>15</v>
      </c>
      <c r="O71" s="25" t="s">
        <v>15</v>
      </c>
      <c r="P71" s="25"/>
      <c r="Q71" s="25"/>
      <c r="R71" s="22"/>
      <c r="S71" s="6" t="s">
        <v>84</v>
      </c>
      <c r="T71" s="4" t="s">
        <v>533</v>
      </c>
      <c r="U71" s="4" t="s">
        <v>269</v>
      </c>
      <c r="V71" s="4" t="s">
        <v>389</v>
      </c>
      <c r="W71" s="4" t="s">
        <v>273</v>
      </c>
      <c r="X71" s="4" t="s">
        <v>393</v>
      </c>
      <c r="Y71" s="28" t="s">
        <v>122</v>
      </c>
      <c r="Z71" s="28"/>
      <c r="AA71" s="28"/>
      <c r="AB71" s="28"/>
      <c r="AC71" s="28"/>
      <c r="AD71" s="29">
        <v>23456</v>
      </c>
      <c r="AE71" s="29" t="s">
        <v>625</v>
      </c>
      <c r="AF71" s="28" t="s">
        <v>628</v>
      </c>
      <c r="AG71" s="35"/>
      <c r="AH71" s="5"/>
      <c r="AI71" s="5"/>
      <c r="AJ71" s="5"/>
      <c r="AK71" s="5" t="s">
        <v>15</v>
      </c>
      <c r="AL71" s="5"/>
      <c r="AM71" s="5"/>
      <c r="AN71" s="5"/>
      <c r="AO71" s="5"/>
      <c r="AP71" s="5"/>
      <c r="AQ71" s="5"/>
      <c r="AR71" s="5"/>
      <c r="AS71" s="5" t="s">
        <v>102</v>
      </c>
      <c r="AT71" s="5" t="s">
        <v>108</v>
      </c>
      <c r="AU71" s="5" t="s">
        <v>104</v>
      </c>
      <c r="AV71" s="5" t="s">
        <v>122</v>
      </c>
      <c r="AW71" s="5" t="s">
        <v>104</v>
      </c>
      <c r="AX71" s="11" t="s">
        <v>714</v>
      </c>
      <c r="AY71" s="12" t="s">
        <v>121</v>
      </c>
    </row>
    <row r="72" spans="1:53" s="14" customFormat="1" ht="20.25" customHeight="1">
      <c r="A72" s="42">
        <f t="shared" si="3"/>
        <v>69</v>
      </c>
      <c r="B72" s="4" t="s">
        <v>247</v>
      </c>
      <c r="C72" s="4" t="s">
        <v>367</v>
      </c>
      <c r="D72" s="21">
        <v>42438</v>
      </c>
      <c r="E72" s="42"/>
      <c r="F72" s="12"/>
      <c r="G72" s="4"/>
      <c r="H72" s="4" t="s">
        <v>144</v>
      </c>
      <c r="I72" s="4" t="s">
        <v>142</v>
      </c>
      <c r="J72" s="4" t="s">
        <v>143</v>
      </c>
      <c r="K72" s="4" t="s">
        <v>141</v>
      </c>
      <c r="L72" s="4" t="s">
        <v>143</v>
      </c>
      <c r="M72" s="22" t="s">
        <v>15</v>
      </c>
      <c r="N72" s="25"/>
      <c r="O72" s="25" t="s">
        <v>15</v>
      </c>
      <c r="P72" s="25"/>
      <c r="Q72" s="25"/>
      <c r="R72" s="22"/>
      <c r="S72" s="6" t="s">
        <v>85</v>
      </c>
      <c r="T72" s="4" t="s">
        <v>534</v>
      </c>
      <c r="U72" s="4" t="s">
        <v>270</v>
      </c>
      <c r="V72" s="4" t="s">
        <v>390</v>
      </c>
      <c r="W72" s="4" t="s">
        <v>274</v>
      </c>
      <c r="X72" s="4" t="s">
        <v>394</v>
      </c>
      <c r="Y72" s="28" t="s">
        <v>122</v>
      </c>
      <c r="Z72" s="28"/>
      <c r="AA72" s="28"/>
      <c r="AB72" s="28"/>
      <c r="AC72" s="28"/>
      <c r="AD72" s="29">
        <v>12345</v>
      </c>
      <c r="AE72" s="29" t="s">
        <v>624</v>
      </c>
      <c r="AF72" s="28" t="s">
        <v>629</v>
      </c>
      <c r="AG72" s="35"/>
      <c r="AH72" s="5"/>
      <c r="AI72" s="5" t="s">
        <v>15</v>
      </c>
      <c r="AJ72" s="5"/>
      <c r="AK72" s="5"/>
      <c r="AL72" s="5"/>
      <c r="AM72" s="5"/>
      <c r="AN72" s="5"/>
      <c r="AO72" s="5"/>
      <c r="AP72" s="5"/>
      <c r="AQ72" s="5"/>
      <c r="AR72" s="5"/>
      <c r="AS72" s="5">
        <v>4</v>
      </c>
      <c r="AT72" s="5" t="s">
        <v>108</v>
      </c>
      <c r="AU72" s="5" t="s">
        <v>104</v>
      </c>
      <c r="AV72" s="5" t="s">
        <v>122</v>
      </c>
      <c r="AW72" s="5" t="s">
        <v>104</v>
      </c>
      <c r="AX72" s="11" t="s">
        <v>715</v>
      </c>
      <c r="AY72" s="12" t="s">
        <v>121</v>
      </c>
      <c r="AZ72" s="12"/>
      <c r="BA72" s="12"/>
    </row>
    <row r="73" spans="1:53" s="13" customFormat="1" ht="20.25" customHeight="1">
      <c r="A73" s="42">
        <f t="shared" si="3"/>
        <v>70</v>
      </c>
      <c r="B73" s="4" t="s">
        <v>248</v>
      </c>
      <c r="C73" s="4" t="s">
        <v>368</v>
      </c>
      <c r="D73" s="21">
        <v>42439</v>
      </c>
      <c r="E73" s="67"/>
      <c r="F73" s="14"/>
      <c r="G73" s="4"/>
      <c r="H73" s="4" t="s">
        <v>142</v>
      </c>
      <c r="I73" s="4" t="s">
        <v>143</v>
      </c>
      <c r="J73" s="4" t="s">
        <v>141</v>
      </c>
      <c r="K73" s="4" t="s">
        <v>141</v>
      </c>
      <c r="L73" s="4" t="s">
        <v>141</v>
      </c>
      <c r="M73" s="22" t="s">
        <v>15</v>
      </c>
      <c r="N73" s="25"/>
      <c r="O73" s="25" t="s">
        <v>15</v>
      </c>
      <c r="P73" s="25"/>
      <c r="Q73" s="25"/>
      <c r="R73" s="22"/>
      <c r="S73" s="6" t="s">
        <v>86</v>
      </c>
      <c r="T73" s="4" t="s">
        <v>535</v>
      </c>
      <c r="U73" s="4" t="s">
        <v>271</v>
      </c>
      <c r="V73" s="4" t="s">
        <v>391</v>
      </c>
      <c r="W73" s="4" t="s">
        <v>275</v>
      </c>
      <c r="X73" s="4" t="s">
        <v>395</v>
      </c>
      <c r="Y73" s="28" t="s">
        <v>122</v>
      </c>
      <c r="Z73" s="28"/>
      <c r="AA73" s="28"/>
      <c r="AB73" s="28"/>
      <c r="AC73" s="28"/>
      <c r="AD73" s="29">
        <v>12345</v>
      </c>
      <c r="AE73" s="29" t="s">
        <v>625</v>
      </c>
      <c r="AF73" s="28" t="s">
        <v>630</v>
      </c>
      <c r="AG73" s="35"/>
      <c r="AH73" s="5"/>
      <c r="AI73" s="5" t="s">
        <v>15</v>
      </c>
      <c r="AJ73" s="5"/>
      <c r="AK73" s="5"/>
      <c r="AL73" s="5"/>
      <c r="AM73" s="5"/>
      <c r="AN73" s="5"/>
      <c r="AO73" s="5"/>
      <c r="AP73" s="5"/>
      <c r="AQ73" s="5"/>
      <c r="AR73" s="5"/>
      <c r="AS73" s="5" t="s">
        <v>106</v>
      </c>
      <c r="AT73" s="5" t="s">
        <v>103</v>
      </c>
      <c r="AU73" s="5" t="s">
        <v>104</v>
      </c>
      <c r="AV73" s="5" t="s">
        <v>129</v>
      </c>
      <c r="AW73" s="5" t="s">
        <v>104</v>
      </c>
      <c r="AX73" s="11" t="s">
        <v>716</v>
      </c>
      <c r="AY73" s="12" t="s">
        <v>121</v>
      </c>
      <c r="AZ73" s="14"/>
      <c r="BA73" s="14"/>
    </row>
    <row r="74" spans="1:53" ht="20.25" customHeight="1">
      <c r="A74" s="42">
        <f t="shared" si="3"/>
        <v>71</v>
      </c>
      <c r="B74" s="4" t="s">
        <v>249</v>
      </c>
      <c r="C74" s="4" t="s">
        <v>369</v>
      </c>
      <c r="D74" s="21">
        <v>42440</v>
      </c>
      <c r="G74" s="4" t="s">
        <v>144</v>
      </c>
      <c r="H74" s="4" t="s">
        <v>144</v>
      </c>
      <c r="I74" s="4" t="s">
        <v>144</v>
      </c>
      <c r="J74" s="4" t="s">
        <v>144</v>
      </c>
      <c r="K74" s="4" t="s">
        <v>144</v>
      </c>
      <c r="L74" s="4" t="s">
        <v>144</v>
      </c>
      <c r="M74" s="22" t="s">
        <v>15</v>
      </c>
      <c r="N74" s="25"/>
      <c r="O74" s="25" t="s">
        <v>15</v>
      </c>
      <c r="P74" s="25"/>
      <c r="Q74" s="25"/>
      <c r="R74" s="22"/>
      <c r="S74" s="6" t="s">
        <v>87</v>
      </c>
      <c r="T74" s="4" t="s">
        <v>536</v>
      </c>
      <c r="U74" s="4" t="s">
        <v>272</v>
      </c>
      <c r="V74" s="4" t="s">
        <v>392</v>
      </c>
      <c r="W74" s="4" t="s">
        <v>276</v>
      </c>
      <c r="X74" s="4" t="s">
        <v>396</v>
      </c>
      <c r="Y74" s="28" t="s">
        <v>122</v>
      </c>
      <c r="Z74" s="28"/>
      <c r="AA74" s="28"/>
      <c r="AB74" s="28"/>
      <c r="AC74" s="28"/>
      <c r="AD74" s="29">
        <v>23456</v>
      </c>
      <c r="AE74" s="29" t="s">
        <v>624</v>
      </c>
      <c r="AF74" s="28" t="s">
        <v>626</v>
      </c>
      <c r="AG74" s="35"/>
      <c r="AH74" s="5"/>
      <c r="AI74" s="5"/>
      <c r="AJ74" s="5"/>
      <c r="AK74" s="5"/>
      <c r="AL74" s="5"/>
      <c r="AM74" s="5"/>
      <c r="AN74" s="5"/>
      <c r="AO74" s="5"/>
      <c r="AP74" s="5"/>
      <c r="AQ74" s="5"/>
      <c r="AR74" s="5"/>
      <c r="AS74" s="5" t="s">
        <v>102</v>
      </c>
      <c r="AT74" s="5" t="s">
        <v>108</v>
      </c>
      <c r="AU74" s="5" t="s">
        <v>104</v>
      </c>
      <c r="AV74" s="5" t="s">
        <v>122</v>
      </c>
      <c r="AW74" s="5" t="s">
        <v>104</v>
      </c>
      <c r="AX74" s="11" t="s">
        <v>717</v>
      </c>
      <c r="AY74" s="12" t="s">
        <v>121</v>
      </c>
    </row>
    <row r="75" spans="1:53" s="13" customFormat="1" ht="20.25" customHeight="1">
      <c r="A75" s="42">
        <f t="shared" si="3"/>
        <v>72</v>
      </c>
      <c r="B75" s="4" t="s">
        <v>250</v>
      </c>
      <c r="C75" s="4" t="s">
        <v>370</v>
      </c>
      <c r="D75" s="21">
        <v>42441</v>
      </c>
      <c r="E75" s="42"/>
      <c r="F75" s="12"/>
      <c r="G75" s="4" t="s">
        <v>142</v>
      </c>
      <c r="H75" s="4" t="s">
        <v>142</v>
      </c>
      <c r="I75" s="4" t="s">
        <v>142</v>
      </c>
      <c r="J75" s="4" t="s">
        <v>142</v>
      </c>
      <c r="K75" s="4" t="s">
        <v>142</v>
      </c>
      <c r="L75" s="4" t="s">
        <v>142</v>
      </c>
      <c r="M75" s="22"/>
      <c r="N75" s="25" t="s">
        <v>15</v>
      </c>
      <c r="O75" s="25" t="s">
        <v>15</v>
      </c>
      <c r="P75" s="25"/>
      <c r="Q75" s="25"/>
      <c r="R75" s="22"/>
      <c r="S75" s="6" t="s">
        <v>88</v>
      </c>
      <c r="T75" s="4" t="s">
        <v>537</v>
      </c>
      <c r="U75" s="4" t="s">
        <v>273</v>
      </c>
      <c r="V75" s="4" t="s">
        <v>393</v>
      </c>
      <c r="W75" s="4" t="s">
        <v>277</v>
      </c>
      <c r="X75" s="4" t="s">
        <v>397</v>
      </c>
      <c r="Y75" s="28" t="s">
        <v>122</v>
      </c>
      <c r="Z75" s="28"/>
      <c r="AA75" s="28"/>
      <c r="AB75" s="28"/>
      <c r="AC75" s="28"/>
      <c r="AD75" s="29">
        <v>23456</v>
      </c>
      <c r="AE75" s="29" t="s">
        <v>625</v>
      </c>
      <c r="AF75" s="28" t="s">
        <v>627</v>
      </c>
      <c r="AG75" s="35"/>
      <c r="AH75" s="5"/>
      <c r="AI75" s="5"/>
      <c r="AJ75" s="5"/>
      <c r="AK75" s="5" t="s">
        <v>15</v>
      </c>
      <c r="AL75" s="5"/>
      <c r="AM75" s="5"/>
      <c r="AN75" s="5"/>
      <c r="AO75" s="5"/>
      <c r="AP75" s="5"/>
      <c r="AQ75" s="5"/>
      <c r="AR75" s="5"/>
      <c r="AS75" s="5" t="s">
        <v>102</v>
      </c>
      <c r="AT75" s="5" t="s">
        <v>103</v>
      </c>
      <c r="AU75" s="5" t="s">
        <v>104</v>
      </c>
      <c r="AV75" s="5" t="s">
        <v>122</v>
      </c>
      <c r="AW75" s="5" t="s">
        <v>104</v>
      </c>
      <c r="AX75" s="11" t="s">
        <v>718</v>
      </c>
      <c r="AY75" s="12" t="s">
        <v>121</v>
      </c>
      <c r="AZ75" s="12"/>
      <c r="BA75" s="12"/>
    </row>
    <row r="76" spans="1:53" s="13" customFormat="1" ht="20.25" customHeight="1">
      <c r="A76" s="42">
        <f t="shared" si="3"/>
        <v>73</v>
      </c>
      <c r="B76" s="4" t="s">
        <v>251</v>
      </c>
      <c r="C76" s="4" t="s">
        <v>371</v>
      </c>
      <c r="D76" s="21">
        <v>42442</v>
      </c>
      <c r="E76" s="67"/>
      <c r="F76" s="14"/>
      <c r="G76" s="4" t="s">
        <v>143</v>
      </c>
      <c r="H76" s="4" t="s">
        <v>143</v>
      </c>
      <c r="I76" s="4" t="s">
        <v>143</v>
      </c>
      <c r="J76" s="4" t="s">
        <v>143</v>
      </c>
      <c r="K76" s="4" t="s">
        <v>143</v>
      </c>
      <c r="L76" s="4" t="s">
        <v>143</v>
      </c>
      <c r="M76" s="22" t="s">
        <v>15</v>
      </c>
      <c r="N76" s="25"/>
      <c r="O76" s="25" t="s">
        <v>15</v>
      </c>
      <c r="P76" s="25"/>
      <c r="Q76" s="25"/>
      <c r="R76" s="22"/>
      <c r="S76" s="6" t="s">
        <v>89</v>
      </c>
      <c r="T76" s="4" t="s">
        <v>538</v>
      </c>
      <c r="U76" s="4" t="s">
        <v>274</v>
      </c>
      <c r="V76" s="4" t="s">
        <v>394</v>
      </c>
      <c r="W76" s="4" t="s">
        <v>278</v>
      </c>
      <c r="X76" s="4" t="s">
        <v>398</v>
      </c>
      <c r="Y76" s="28" t="s">
        <v>122</v>
      </c>
      <c r="Z76" s="28"/>
      <c r="AA76" s="28"/>
      <c r="AB76" s="28"/>
      <c r="AC76" s="28"/>
      <c r="AD76" s="29">
        <v>12345</v>
      </c>
      <c r="AE76" s="29" t="s">
        <v>624</v>
      </c>
      <c r="AF76" s="28" t="s">
        <v>628</v>
      </c>
      <c r="AG76" s="35"/>
      <c r="AH76" s="5" t="s">
        <v>15</v>
      </c>
      <c r="AI76" s="5"/>
      <c r="AJ76" s="5"/>
      <c r="AK76" s="5"/>
      <c r="AL76" s="5"/>
      <c r="AM76" s="5"/>
      <c r="AN76" s="5"/>
      <c r="AO76" s="5"/>
      <c r="AP76" s="5"/>
      <c r="AQ76" s="5"/>
      <c r="AR76" s="5"/>
      <c r="AS76" s="5" t="s">
        <v>111</v>
      </c>
      <c r="AT76" s="5" t="s">
        <v>108</v>
      </c>
      <c r="AU76" s="5" t="s">
        <v>104</v>
      </c>
      <c r="AV76" s="5" t="s">
        <v>122</v>
      </c>
      <c r="AW76" s="5" t="s">
        <v>104</v>
      </c>
      <c r="AX76" s="11" t="s">
        <v>719</v>
      </c>
      <c r="AY76" s="12" t="s">
        <v>121</v>
      </c>
      <c r="AZ76" s="14"/>
      <c r="BA76" s="14"/>
    </row>
    <row r="77" spans="1:53" s="13" customFormat="1" ht="20.25" customHeight="1">
      <c r="A77" s="42">
        <f t="shared" si="3"/>
        <v>74</v>
      </c>
      <c r="B77" s="4" t="s">
        <v>252</v>
      </c>
      <c r="C77" s="4" t="s">
        <v>372</v>
      </c>
      <c r="D77" s="21">
        <v>42443</v>
      </c>
      <c r="E77" s="52"/>
      <c r="F77" s="46"/>
      <c r="G77" s="4"/>
      <c r="H77" s="4" t="s">
        <v>143</v>
      </c>
      <c r="I77" s="4" t="s">
        <v>143</v>
      </c>
      <c r="J77" s="4" t="s">
        <v>144</v>
      </c>
      <c r="K77" s="4" t="s">
        <v>144</v>
      </c>
      <c r="L77" s="4" t="s">
        <v>143</v>
      </c>
      <c r="M77" s="22" t="s">
        <v>15</v>
      </c>
      <c r="N77" s="25"/>
      <c r="O77" s="25"/>
      <c r="P77" s="25" t="s">
        <v>15</v>
      </c>
      <c r="Q77" s="25"/>
      <c r="R77" s="22"/>
      <c r="S77" s="6" t="s">
        <v>90</v>
      </c>
      <c r="T77" s="4" t="s">
        <v>539</v>
      </c>
      <c r="U77" s="4" t="s">
        <v>275</v>
      </c>
      <c r="V77" s="4" t="s">
        <v>395</v>
      </c>
      <c r="W77" s="4" t="s">
        <v>279</v>
      </c>
      <c r="X77" s="4" t="s">
        <v>399</v>
      </c>
      <c r="Y77" s="28"/>
      <c r="Z77" s="28"/>
      <c r="AA77" s="28"/>
      <c r="AB77" s="28"/>
      <c r="AC77" s="28"/>
      <c r="AD77" s="29">
        <v>12345</v>
      </c>
      <c r="AE77" s="29" t="s">
        <v>625</v>
      </c>
      <c r="AF77" s="28" t="s">
        <v>629</v>
      </c>
      <c r="AG77" s="35"/>
      <c r="AH77" s="5" t="s">
        <v>15</v>
      </c>
      <c r="AI77" s="5"/>
      <c r="AJ77" s="5"/>
      <c r="AK77" s="5"/>
      <c r="AL77" s="5"/>
      <c r="AM77" s="5"/>
      <c r="AN77" s="5"/>
      <c r="AO77" s="5"/>
      <c r="AP77" s="5"/>
      <c r="AQ77" s="5"/>
      <c r="AR77" s="5"/>
      <c r="AS77" s="5" t="s">
        <v>111</v>
      </c>
      <c r="AT77" s="5" t="s">
        <v>103</v>
      </c>
      <c r="AU77" s="5" t="s">
        <v>104</v>
      </c>
      <c r="AV77" s="5"/>
      <c r="AW77" s="5" t="s">
        <v>104</v>
      </c>
      <c r="AX77" s="11" t="s">
        <v>720</v>
      </c>
      <c r="AY77" s="12" t="str">
        <f>IFERROR(VLOOKUP(MATCH(" ",AG77:AQ77,-1),'[1]erlaubte Werte'!J$2:K$13,2,0),"")</f>
        <v/>
      </c>
      <c r="AZ77" s="46"/>
      <c r="BA77" s="7"/>
    </row>
    <row r="78" spans="1:53" s="13" customFormat="1" ht="20.25" customHeight="1">
      <c r="A78" s="42">
        <f t="shared" si="3"/>
        <v>75</v>
      </c>
      <c r="B78" s="4" t="s">
        <v>253</v>
      </c>
      <c r="C78" s="4" t="s">
        <v>373</v>
      </c>
      <c r="D78" s="21">
        <v>42444</v>
      </c>
      <c r="E78" s="52"/>
      <c r="F78" s="46"/>
      <c r="G78" s="4"/>
      <c r="H78" s="4" t="s">
        <v>143</v>
      </c>
      <c r="I78" s="4" t="s">
        <v>142</v>
      </c>
      <c r="J78" s="4" t="s">
        <v>142</v>
      </c>
      <c r="K78" s="4" t="s">
        <v>142</v>
      </c>
      <c r="L78" s="4" t="s">
        <v>142</v>
      </c>
      <c r="M78" s="22"/>
      <c r="N78" s="25" t="s">
        <v>15</v>
      </c>
      <c r="O78" s="25"/>
      <c r="P78" s="25" t="s">
        <v>15</v>
      </c>
      <c r="Q78" s="25"/>
      <c r="R78" s="22"/>
      <c r="S78" s="6" t="s">
        <v>91</v>
      </c>
      <c r="T78" s="4" t="s">
        <v>540</v>
      </c>
      <c r="U78" s="4" t="s">
        <v>276</v>
      </c>
      <c r="V78" s="4" t="s">
        <v>396</v>
      </c>
      <c r="W78" s="4" t="s">
        <v>280</v>
      </c>
      <c r="X78" s="4" t="s">
        <v>400</v>
      </c>
      <c r="Y78" s="28"/>
      <c r="Z78" s="28"/>
      <c r="AA78" s="28"/>
      <c r="AB78" s="28"/>
      <c r="AC78" s="28"/>
      <c r="AD78" s="29">
        <v>23456</v>
      </c>
      <c r="AE78" s="29" t="s">
        <v>624</v>
      </c>
      <c r="AF78" s="28" t="s">
        <v>630</v>
      </c>
      <c r="AG78" s="35" t="s">
        <v>15</v>
      </c>
      <c r="AH78" s="5"/>
      <c r="AI78" s="5"/>
      <c r="AJ78" s="5"/>
      <c r="AK78" s="5"/>
      <c r="AL78" s="5"/>
      <c r="AM78" s="5"/>
      <c r="AN78" s="5"/>
      <c r="AO78" s="5"/>
      <c r="AP78" s="5"/>
      <c r="AQ78" s="5"/>
      <c r="AR78" s="5"/>
      <c r="AS78" s="5" t="s">
        <v>106</v>
      </c>
      <c r="AT78" s="5" t="s">
        <v>108</v>
      </c>
      <c r="AU78" s="5" t="s">
        <v>104</v>
      </c>
      <c r="AV78" s="5"/>
      <c r="AW78" s="5" t="s">
        <v>104</v>
      </c>
      <c r="AX78" s="11" t="s">
        <v>721</v>
      </c>
      <c r="AY78" s="12" t="str">
        <f>IFERROR(VLOOKUP(MATCH(" ",AG78:AQ78,-1),'[1]erlaubte Werte'!J$2:K$13,2,0),"")</f>
        <v/>
      </c>
      <c r="AZ78" s="46"/>
      <c r="BA78" s="7"/>
    </row>
    <row r="79" spans="1:53" s="13" customFormat="1" ht="20.25" customHeight="1">
      <c r="A79" s="42">
        <f t="shared" si="3"/>
        <v>76</v>
      </c>
      <c r="B79" s="4" t="s">
        <v>254</v>
      </c>
      <c r="C79" s="4" t="s">
        <v>374</v>
      </c>
      <c r="D79" s="21">
        <v>42445</v>
      </c>
      <c r="E79" s="52"/>
      <c r="F79" s="46"/>
      <c r="G79" s="4" t="s">
        <v>141</v>
      </c>
      <c r="H79" s="4" t="s">
        <v>141</v>
      </c>
      <c r="I79" s="4" t="s">
        <v>141</v>
      </c>
      <c r="J79" s="4" t="s">
        <v>141</v>
      </c>
      <c r="K79" s="4" t="s">
        <v>141</v>
      </c>
      <c r="L79" s="4" t="s">
        <v>141</v>
      </c>
      <c r="M79" s="22" t="s">
        <v>15</v>
      </c>
      <c r="N79" s="25"/>
      <c r="O79" s="25"/>
      <c r="P79" s="25"/>
      <c r="Q79" s="25" t="s">
        <v>15</v>
      </c>
      <c r="R79" s="22"/>
      <c r="S79" s="6" t="s">
        <v>92</v>
      </c>
      <c r="T79" s="4" t="s">
        <v>541</v>
      </c>
      <c r="U79" s="4" t="s">
        <v>277</v>
      </c>
      <c r="V79" s="4" t="s">
        <v>397</v>
      </c>
      <c r="W79" s="4" t="s">
        <v>281</v>
      </c>
      <c r="X79" s="4" t="s">
        <v>401</v>
      </c>
      <c r="Y79" s="28" t="s">
        <v>122</v>
      </c>
      <c r="Z79" s="28"/>
      <c r="AA79" s="28"/>
      <c r="AB79" s="28"/>
      <c r="AC79" s="28"/>
      <c r="AD79" s="29">
        <v>23456</v>
      </c>
      <c r="AE79" s="29" t="s">
        <v>625</v>
      </c>
      <c r="AF79" s="28" t="s">
        <v>626</v>
      </c>
      <c r="AG79" s="35"/>
      <c r="AH79" s="5"/>
      <c r="AI79" s="5"/>
      <c r="AJ79" s="5" t="s">
        <v>15</v>
      </c>
      <c r="AK79" s="5"/>
      <c r="AL79" s="5"/>
      <c r="AM79" s="5"/>
      <c r="AN79" s="5"/>
      <c r="AO79" s="5"/>
      <c r="AP79" s="5"/>
      <c r="AQ79" s="5"/>
      <c r="AR79" s="5"/>
      <c r="AS79" s="5" t="s">
        <v>102</v>
      </c>
      <c r="AT79" s="5" t="s">
        <v>108</v>
      </c>
      <c r="AU79" s="5" t="s">
        <v>104</v>
      </c>
      <c r="AV79" s="5" t="s">
        <v>123</v>
      </c>
      <c r="AW79" s="5" t="s">
        <v>104</v>
      </c>
      <c r="AX79" s="11" t="s">
        <v>722</v>
      </c>
      <c r="AY79" s="12" t="str">
        <f>IFERROR(VLOOKUP(MATCH(" ",AG79:AQ79,-1),'[1]erlaubte Werte'!J$2:K$13,2,0),"")</f>
        <v/>
      </c>
      <c r="AZ79" s="46"/>
      <c r="BA79" s="7"/>
    </row>
    <row r="80" spans="1:53" s="13" customFormat="1" ht="20.25" customHeight="1">
      <c r="A80" s="42">
        <f t="shared" si="3"/>
        <v>77</v>
      </c>
      <c r="B80" s="4" t="s">
        <v>255</v>
      </c>
      <c r="C80" s="4" t="s">
        <v>375</v>
      </c>
      <c r="D80" s="21">
        <v>42446</v>
      </c>
      <c r="E80" s="52"/>
      <c r="F80" s="46"/>
      <c r="G80" s="4" t="s">
        <v>141</v>
      </c>
      <c r="H80" s="4" t="s">
        <v>141</v>
      </c>
      <c r="I80" s="4" t="s">
        <v>141</v>
      </c>
      <c r="J80" s="4" t="s">
        <v>141</v>
      </c>
      <c r="K80" s="4" t="s">
        <v>141</v>
      </c>
      <c r="L80" s="4" t="s">
        <v>141</v>
      </c>
      <c r="M80" s="22"/>
      <c r="N80" s="25" t="s">
        <v>15</v>
      </c>
      <c r="O80" s="25"/>
      <c r="P80" s="25" t="s">
        <v>15</v>
      </c>
      <c r="Q80" s="25"/>
      <c r="R80" s="22"/>
      <c r="S80" s="6" t="s">
        <v>93</v>
      </c>
      <c r="T80" s="4" t="s">
        <v>542</v>
      </c>
      <c r="U80" s="4" t="s">
        <v>278</v>
      </c>
      <c r="V80" s="4" t="s">
        <v>398</v>
      </c>
      <c r="W80" s="4" t="s">
        <v>282</v>
      </c>
      <c r="X80" s="4" t="s">
        <v>402</v>
      </c>
      <c r="Y80" s="28"/>
      <c r="Z80" s="28"/>
      <c r="AA80" s="28"/>
      <c r="AB80" s="28"/>
      <c r="AC80" s="28"/>
      <c r="AD80" s="29">
        <v>12345</v>
      </c>
      <c r="AE80" s="29" t="s">
        <v>624</v>
      </c>
      <c r="AF80" s="28" t="s">
        <v>627</v>
      </c>
      <c r="AG80" s="35"/>
      <c r="AH80" s="5"/>
      <c r="AI80" s="5"/>
      <c r="AJ80" s="5"/>
      <c r="AK80" s="5"/>
      <c r="AL80" s="5" t="s">
        <v>15</v>
      </c>
      <c r="AM80" s="5"/>
      <c r="AN80" s="5"/>
      <c r="AO80" s="5"/>
      <c r="AP80" s="5"/>
      <c r="AQ80" s="5"/>
      <c r="AR80" s="5"/>
      <c r="AS80" s="5" t="s">
        <v>117</v>
      </c>
      <c r="AT80" s="5" t="s">
        <v>108</v>
      </c>
      <c r="AU80" s="5" t="s">
        <v>104</v>
      </c>
      <c r="AV80" s="5"/>
      <c r="AW80" s="5" t="s">
        <v>104</v>
      </c>
      <c r="AX80" s="11" t="s">
        <v>723</v>
      </c>
      <c r="AY80" s="12" t="str">
        <f>IFERROR(VLOOKUP(MATCH(" ",AG80:AQ80,-1),'[1]erlaubte Werte'!J$2:K$13,2,0),"")</f>
        <v/>
      </c>
      <c r="AZ80" s="46"/>
      <c r="BA80" s="7"/>
    </row>
    <row r="81" spans="1:53" s="13" customFormat="1" ht="20.25" customHeight="1">
      <c r="A81" s="42">
        <f t="shared" si="3"/>
        <v>78</v>
      </c>
      <c r="B81" s="4" t="s">
        <v>256</v>
      </c>
      <c r="C81" s="4" t="s">
        <v>376</v>
      </c>
      <c r="D81" s="21">
        <v>42447</v>
      </c>
      <c r="E81" s="52" t="s">
        <v>173</v>
      </c>
      <c r="F81" s="46" t="s">
        <v>96</v>
      </c>
      <c r="G81" s="4" t="s">
        <v>141</v>
      </c>
      <c r="H81" s="4" t="s">
        <v>141</v>
      </c>
      <c r="I81" s="4" t="s">
        <v>141</v>
      </c>
      <c r="J81" s="4" t="s">
        <v>141</v>
      </c>
      <c r="K81" s="4" t="s">
        <v>141</v>
      </c>
      <c r="L81" s="4" t="s">
        <v>141</v>
      </c>
      <c r="M81" s="22"/>
      <c r="N81" s="25" t="s">
        <v>15</v>
      </c>
      <c r="O81" s="25"/>
      <c r="P81" s="25"/>
      <c r="Q81" s="25"/>
      <c r="R81" s="22"/>
      <c r="S81" s="6" t="s">
        <v>94</v>
      </c>
      <c r="T81" s="4" t="s">
        <v>543</v>
      </c>
      <c r="U81" s="4" t="s">
        <v>279</v>
      </c>
      <c r="V81" s="4" t="s">
        <v>399</v>
      </c>
      <c r="W81" s="4" t="s">
        <v>283</v>
      </c>
      <c r="X81" s="4" t="s">
        <v>403</v>
      </c>
      <c r="Y81" s="28" t="s">
        <v>122</v>
      </c>
      <c r="Z81" s="28"/>
      <c r="AA81" s="28"/>
      <c r="AB81" s="28"/>
      <c r="AC81" s="28"/>
      <c r="AD81" s="29">
        <v>12345</v>
      </c>
      <c r="AE81" s="29" t="s">
        <v>625</v>
      </c>
      <c r="AF81" s="28" t="s">
        <v>628</v>
      </c>
      <c r="AG81" s="35"/>
      <c r="AH81" s="5"/>
      <c r="AI81" s="5"/>
      <c r="AJ81" s="5"/>
      <c r="AK81" s="5"/>
      <c r="AL81" s="5" t="s">
        <v>15</v>
      </c>
      <c r="AM81" s="5"/>
      <c r="AN81" s="5"/>
      <c r="AO81" s="5"/>
      <c r="AP81" s="5"/>
      <c r="AQ81" s="5"/>
      <c r="AR81" s="5"/>
      <c r="AS81" s="5" t="s">
        <v>111</v>
      </c>
      <c r="AT81" s="5" t="s">
        <v>103</v>
      </c>
      <c r="AU81" s="5" t="s">
        <v>104</v>
      </c>
      <c r="AV81" s="5" t="s">
        <v>124</v>
      </c>
      <c r="AW81" s="5" t="s">
        <v>104</v>
      </c>
      <c r="AX81" s="11" t="s">
        <v>724</v>
      </c>
      <c r="AY81" s="12" t="str">
        <f>IFERROR(VLOOKUP(MATCH(" ",AG81:AQ81,-1),'[1]erlaubte Werte'!J$2:K$13,2,0),"")</f>
        <v/>
      </c>
      <c r="AZ81" s="46"/>
      <c r="BA81" s="7"/>
    </row>
    <row r="82" spans="1:53" s="13" customFormat="1" ht="20.25" customHeight="1">
      <c r="A82" s="42">
        <f t="shared" si="3"/>
        <v>79</v>
      </c>
      <c r="B82" s="4" t="s">
        <v>257</v>
      </c>
      <c r="C82" s="4" t="s">
        <v>377</v>
      </c>
      <c r="D82" s="21">
        <v>42448</v>
      </c>
      <c r="E82" s="52"/>
      <c r="F82" s="46"/>
      <c r="G82" s="4"/>
      <c r="H82" s="4" t="s">
        <v>141</v>
      </c>
      <c r="I82" s="4" t="s">
        <v>141</v>
      </c>
      <c r="J82" s="4" t="s">
        <v>144</v>
      </c>
      <c r="K82" s="4" t="s">
        <v>144</v>
      </c>
      <c r="L82" s="4" t="s">
        <v>144</v>
      </c>
      <c r="M82" s="22" t="s">
        <v>15</v>
      </c>
      <c r="N82" s="25"/>
      <c r="O82" s="25"/>
      <c r="P82" s="25" t="s">
        <v>15</v>
      </c>
      <c r="Q82" s="25"/>
      <c r="R82" s="22"/>
      <c r="S82" s="6" t="s">
        <v>422</v>
      </c>
      <c r="T82" s="4" t="s">
        <v>544</v>
      </c>
      <c r="U82" s="4" t="s">
        <v>280</v>
      </c>
      <c r="V82" s="4" t="s">
        <v>400</v>
      </c>
      <c r="W82" s="4" t="s">
        <v>284</v>
      </c>
      <c r="X82" s="4" t="s">
        <v>404</v>
      </c>
      <c r="Y82" s="28" t="s">
        <v>471</v>
      </c>
      <c r="Z82" s="4"/>
      <c r="AA82" s="4"/>
      <c r="AB82" s="28"/>
      <c r="AC82" s="28"/>
      <c r="AD82" s="29">
        <v>23456</v>
      </c>
      <c r="AE82" s="29" t="s">
        <v>624</v>
      </c>
      <c r="AF82" s="28" t="s">
        <v>629</v>
      </c>
      <c r="AG82" s="35"/>
      <c r="AH82" s="5"/>
      <c r="AI82" s="5"/>
      <c r="AJ82" s="5"/>
      <c r="AK82" s="5" t="s">
        <v>15</v>
      </c>
      <c r="AL82" s="5"/>
      <c r="AM82" s="5"/>
      <c r="AN82" s="5"/>
      <c r="AO82" s="5"/>
      <c r="AP82" s="5"/>
      <c r="AQ82" s="5"/>
      <c r="AR82" s="5"/>
      <c r="AS82" s="5" t="s">
        <v>117</v>
      </c>
      <c r="AT82" s="5" t="s">
        <v>103</v>
      </c>
      <c r="AU82" s="5" t="s">
        <v>104</v>
      </c>
      <c r="AV82" s="5"/>
      <c r="AW82" s="5" t="s">
        <v>104</v>
      </c>
      <c r="AX82" s="11" t="s">
        <v>725</v>
      </c>
      <c r="AY82" s="12" t="str">
        <f>IFERROR(VLOOKUP(MATCH(" ",AG82:AQ82,-1),'[1]erlaubte Werte'!J$2:K$13,2,0),"")</f>
        <v/>
      </c>
      <c r="AZ82" s="46"/>
      <c r="BA82" s="7"/>
    </row>
    <row r="83" spans="1:53" s="48" customFormat="1" ht="15" customHeight="1">
      <c r="A83" s="42">
        <f t="shared" si="3"/>
        <v>80</v>
      </c>
      <c r="B83" s="4" t="s">
        <v>258</v>
      </c>
      <c r="C83" s="4" t="s">
        <v>378</v>
      </c>
      <c r="D83" s="21">
        <v>42449</v>
      </c>
      <c r="E83" s="67"/>
      <c r="F83" s="14"/>
      <c r="G83" s="4"/>
      <c r="H83" s="4" t="s">
        <v>141</v>
      </c>
      <c r="I83" s="4" t="s">
        <v>144</v>
      </c>
      <c r="J83" s="4" t="s">
        <v>143</v>
      </c>
      <c r="K83" s="4" t="s">
        <v>143</v>
      </c>
      <c r="L83" s="4" t="s">
        <v>144</v>
      </c>
      <c r="M83" s="22" t="s">
        <v>15</v>
      </c>
      <c r="N83" s="25"/>
      <c r="O83" s="25" t="s">
        <v>15</v>
      </c>
      <c r="P83" s="25"/>
      <c r="Q83" s="25"/>
      <c r="R83" s="22"/>
      <c r="S83" s="6" t="s">
        <v>423</v>
      </c>
      <c r="T83" s="4" t="s">
        <v>545</v>
      </c>
      <c r="U83" s="4" t="s">
        <v>281</v>
      </c>
      <c r="V83" s="4" t="s">
        <v>401</v>
      </c>
      <c r="W83" s="4" t="s">
        <v>285</v>
      </c>
      <c r="X83" s="4" t="s">
        <v>405</v>
      </c>
      <c r="Y83" s="28" t="s">
        <v>122</v>
      </c>
      <c r="Z83" s="4"/>
      <c r="AA83" s="4"/>
      <c r="AB83" s="28"/>
      <c r="AC83" s="28"/>
      <c r="AD83" s="29">
        <v>23456</v>
      </c>
      <c r="AE83" s="29" t="s">
        <v>625</v>
      </c>
      <c r="AF83" s="28" t="s">
        <v>630</v>
      </c>
      <c r="AG83" s="35"/>
      <c r="AH83" s="5"/>
      <c r="AI83" s="5"/>
      <c r="AJ83" s="5"/>
      <c r="AK83" s="5" t="s">
        <v>15</v>
      </c>
      <c r="AL83" s="5"/>
      <c r="AM83" s="5"/>
      <c r="AN83" s="5"/>
      <c r="AO83" s="5"/>
      <c r="AP83" s="5"/>
      <c r="AQ83" s="5"/>
      <c r="AR83" s="5"/>
      <c r="AS83" s="5" t="s">
        <v>102</v>
      </c>
      <c r="AT83" s="5" t="s">
        <v>108</v>
      </c>
      <c r="AU83" s="5" t="s">
        <v>104</v>
      </c>
      <c r="AV83" s="5" t="s">
        <v>122</v>
      </c>
      <c r="AW83" s="5" t="s">
        <v>104</v>
      </c>
      <c r="AX83" s="11" t="s">
        <v>726</v>
      </c>
      <c r="AY83" s="12" t="s">
        <v>121</v>
      </c>
      <c r="AZ83" s="14"/>
      <c r="BA83" s="14"/>
    </row>
    <row r="84" spans="1:53" s="49" customFormat="1" ht="15" customHeight="1">
      <c r="A84" s="42">
        <f t="shared" si="3"/>
        <v>81</v>
      </c>
      <c r="B84" s="4" t="s">
        <v>259</v>
      </c>
      <c r="C84" s="4" t="s">
        <v>379</v>
      </c>
      <c r="D84" s="21">
        <v>42450</v>
      </c>
      <c r="E84" s="52"/>
      <c r="F84" s="46"/>
      <c r="G84" s="4"/>
      <c r="H84" s="4" t="s">
        <v>144</v>
      </c>
      <c r="I84" s="4" t="s">
        <v>144</v>
      </c>
      <c r="J84" s="4" t="s">
        <v>143</v>
      </c>
      <c r="K84" s="4" t="s">
        <v>143</v>
      </c>
      <c r="L84" s="4" t="s">
        <v>142</v>
      </c>
      <c r="M84" s="22" t="s">
        <v>15</v>
      </c>
      <c r="N84" s="25"/>
      <c r="O84" s="25"/>
      <c r="P84" s="25" t="s">
        <v>15</v>
      </c>
      <c r="Q84" s="25"/>
      <c r="R84" s="22"/>
      <c r="S84" s="6" t="s">
        <v>424</v>
      </c>
      <c r="T84" s="4" t="s">
        <v>546</v>
      </c>
      <c r="U84" s="4" t="s">
        <v>282</v>
      </c>
      <c r="V84" s="4" t="s">
        <v>402</v>
      </c>
      <c r="W84" s="4" t="s">
        <v>286</v>
      </c>
      <c r="X84" s="4" t="s">
        <v>406</v>
      </c>
      <c r="Y84" s="28" t="s">
        <v>122</v>
      </c>
      <c r="Z84" s="28"/>
      <c r="AA84" s="28"/>
      <c r="AB84" s="28"/>
      <c r="AC84" s="28"/>
      <c r="AD84" s="29">
        <v>12345</v>
      </c>
      <c r="AE84" s="29" t="s">
        <v>624</v>
      </c>
      <c r="AF84" s="28" t="s">
        <v>626</v>
      </c>
      <c r="AG84" s="35"/>
      <c r="AH84" s="5" t="s">
        <v>15</v>
      </c>
      <c r="AI84" s="5"/>
      <c r="AJ84" s="5"/>
      <c r="AK84" s="5"/>
      <c r="AL84" s="5"/>
      <c r="AM84" s="5"/>
      <c r="AN84" s="5"/>
      <c r="AO84" s="5"/>
      <c r="AP84" s="5"/>
      <c r="AQ84" s="5"/>
      <c r="AR84" s="5"/>
      <c r="AS84" s="5" t="s">
        <v>105</v>
      </c>
      <c r="AT84" s="5" t="s">
        <v>108</v>
      </c>
      <c r="AU84" s="5" t="s">
        <v>104</v>
      </c>
      <c r="AV84" s="5" t="s">
        <v>122</v>
      </c>
      <c r="AW84" s="5" t="s">
        <v>104</v>
      </c>
      <c r="AX84" s="11" t="s">
        <v>727</v>
      </c>
      <c r="AY84" s="12" t="str">
        <f>IFERROR(VLOOKUP(MATCH(" ",AG84:AQ84,-1),'[1]erlaubte Werte'!J$2:K$13,2,0),"")</f>
        <v/>
      </c>
      <c r="AZ84" s="46"/>
      <c r="BA84" s="7"/>
    </row>
    <row r="85" spans="1:53" s="49" customFormat="1" ht="15" customHeight="1">
      <c r="A85" s="42">
        <f t="shared" si="3"/>
        <v>82</v>
      </c>
      <c r="B85" s="4" t="s">
        <v>260</v>
      </c>
      <c r="C85" s="4" t="s">
        <v>380</v>
      </c>
      <c r="D85" s="21">
        <v>42451</v>
      </c>
      <c r="E85" s="67"/>
      <c r="F85" s="14"/>
      <c r="G85" s="4"/>
      <c r="H85" s="4" t="s">
        <v>142</v>
      </c>
      <c r="I85" s="4" t="s">
        <v>144</v>
      </c>
      <c r="J85" s="4" t="s">
        <v>141</v>
      </c>
      <c r="K85" s="4" t="s">
        <v>141</v>
      </c>
      <c r="L85" s="4" t="s">
        <v>141</v>
      </c>
      <c r="M85" s="22"/>
      <c r="N85" s="25" t="s">
        <v>15</v>
      </c>
      <c r="O85" s="25" t="s">
        <v>15</v>
      </c>
      <c r="P85" s="25"/>
      <c r="Q85" s="25"/>
      <c r="R85" s="22"/>
      <c r="S85" s="6" t="s">
        <v>425</v>
      </c>
      <c r="T85" s="4" t="s">
        <v>547</v>
      </c>
      <c r="U85" s="4" t="s">
        <v>283</v>
      </c>
      <c r="V85" s="4" t="s">
        <v>403</v>
      </c>
      <c r="W85" s="4" t="s">
        <v>287</v>
      </c>
      <c r="X85" s="4" t="s">
        <v>407</v>
      </c>
      <c r="Y85" s="28" t="s">
        <v>122</v>
      </c>
      <c r="Z85" s="28"/>
      <c r="AA85" s="28"/>
      <c r="AB85" s="28"/>
      <c r="AC85" s="28"/>
      <c r="AD85" s="29">
        <v>12345</v>
      </c>
      <c r="AE85" s="29" t="s">
        <v>625</v>
      </c>
      <c r="AF85" s="28" t="s">
        <v>627</v>
      </c>
      <c r="AG85" s="35"/>
      <c r="AH85" s="5" t="s">
        <v>15</v>
      </c>
      <c r="AI85" s="5"/>
      <c r="AJ85" s="5"/>
      <c r="AK85" s="5"/>
      <c r="AL85" s="5"/>
      <c r="AM85" s="5"/>
      <c r="AN85" s="5"/>
      <c r="AO85" s="5"/>
      <c r="AP85" s="5"/>
      <c r="AQ85" s="5"/>
      <c r="AR85" s="5"/>
      <c r="AS85" s="5" t="s">
        <v>105</v>
      </c>
      <c r="AT85" s="5" t="s">
        <v>108</v>
      </c>
      <c r="AU85" s="5" t="s">
        <v>104</v>
      </c>
      <c r="AV85" s="5" t="s">
        <v>122</v>
      </c>
      <c r="AW85" s="5" t="s">
        <v>104</v>
      </c>
      <c r="AX85" s="11" t="s">
        <v>728</v>
      </c>
      <c r="AY85" s="12" t="s">
        <v>121</v>
      </c>
      <c r="AZ85" s="14"/>
      <c r="BA85" s="14"/>
    </row>
    <row r="86" spans="1:53" s="50" customFormat="1" ht="15" customHeight="1">
      <c r="A86" s="42">
        <f t="shared" si="3"/>
        <v>83</v>
      </c>
      <c r="B86" s="4" t="s">
        <v>261</v>
      </c>
      <c r="C86" s="4" t="s">
        <v>381</v>
      </c>
      <c r="D86" s="21">
        <v>42452</v>
      </c>
      <c r="E86" s="67"/>
      <c r="F86" s="14"/>
      <c r="G86" s="4"/>
      <c r="H86" s="4" t="s">
        <v>144</v>
      </c>
      <c r="I86" s="4" t="s">
        <v>143</v>
      </c>
      <c r="J86" s="4" t="s">
        <v>142</v>
      </c>
      <c r="K86" s="4" t="s">
        <v>142</v>
      </c>
      <c r="L86" s="4" t="s">
        <v>142</v>
      </c>
      <c r="M86" s="22" t="s">
        <v>15</v>
      </c>
      <c r="N86" s="25"/>
      <c r="O86" s="25" t="s">
        <v>15</v>
      </c>
      <c r="P86" s="25"/>
      <c r="Q86" s="25"/>
      <c r="R86" s="22"/>
      <c r="S86" s="6" t="s">
        <v>426</v>
      </c>
      <c r="T86" s="4" t="s">
        <v>548</v>
      </c>
      <c r="U86" s="4" t="s">
        <v>284</v>
      </c>
      <c r="V86" s="4" t="s">
        <v>404</v>
      </c>
      <c r="W86" s="4" t="s">
        <v>288</v>
      </c>
      <c r="X86" s="4" t="s">
        <v>408</v>
      </c>
      <c r="Y86" s="28" t="s">
        <v>122</v>
      </c>
      <c r="Z86" s="28"/>
      <c r="AA86" s="28"/>
      <c r="AB86" s="28"/>
      <c r="AC86" s="28"/>
      <c r="AD86" s="29">
        <v>23456</v>
      </c>
      <c r="AE86" s="29" t="s">
        <v>624</v>
      </c>
      <c r="AF86" s="28" t="s">
        <v>628</v>
      </c>
      <c r="AG86" s="35"/>
      <c r="AH86" s="5"/>
      <c r="AI86" s="5"/>
      <c r="AJ86" s="5"/>
      <c r="AK86" s="5" t="s">
        <v>15</v>
      </c>
      <c r="AL86" s="5"/>
      <c r="AM86" s="5"/>
      <c r="AN86" s="5"/>
      <c r="AO86" s="5"/>
      <c r="AP86" s="5"/>
      <c r="AQ86" s="5"/>
      <c r="AR86" s="5"/>
      <c r="AS86" s="5" t="s">
        <v>102</v>
      </c>
      <c r="AT86" s="5" t="s">
        <v>108</v>
      </c>
      <c r="AU86" s="5" t="s">
        <v>104</v>
      </c>
      <c r="AV86" s="5" t="s">
        <v>122</v>
      </c>
      <c r="AW86" s="5" t="s">
        <v>104</v>
      </c>
      <c r="AX86" s="11" t="s">
        <v>729</v>
      </c>
      <c r="AY86" s="12" t="s">
        <v>121</v>
      </c>
      <c r="AZ86" s="14"/>
      <c r="BA86" s="14"/>
    </row>
    <row r="87" spans="1:53" s="49" customFormat="1" ht="15" customHeight="1">
      <c r="A87" s="42">
        <f t="shared" si="3"/>
        <v>84</v>
      </c>
      <c r="B87" s="4" t="s">
        <v>262</v>
      </c>
      <c r="C87" s="4" t="s">
        <v>382</v>
      </c>
      <c r="D87" s="21">
        <v>42453</v>
      </c>
      <c r="E87" s="52"/>
      <c r="F87" s="46"/>
      <c r="G87" s="4"/>
      <c r="H87" s="4" t="s">
        <v>142</v>
      </c>
      <c r="I87" s="4" t="s">
        <v>141</v>
      </c>
      <c r="J87" s="4" t="s">
        <v>144</v>
      </c>
      <c r="K87" s="4" t="s">
        <v>144</v>
      </c>
      <c r="L87" s="4" t="s">
        <v>144</v>
      </c>
      <c r="M87" s="22"/>
      <c r="N87" s="25" t="s">
        <v>15</v>
      </c>
      <c r="O87" s="25"/>
      <c r="P87" s="25" t="s">
        <v>15</v>
      </c>
      <c r="Q87" s="25"/>
      <c r="R87" s="22"/>
      <c r="S87" s="6" t="s">
        <v>427</v>
      </c>
      <c r="T87" s="4" t="s">
        <v>549</v>
      </c>
      <c r="U87" s="4" t="s">
        <v>285</v>
      </c>
      <c r="V87" s="4" t="s">
        <v>405</v>
      </c>
      <c r="W87" s="4" t="s">
        <v>289</v>
      </c>
      <c r="X87" s="4" t="s">
        <v>409</v>
      </c>
      <c r="Y87" s="28" t="s">
        <v>472</v>
      </c>
      <c r="Z87" s="4"/>
      <c r="AA87" s="4"/>
      <c r="AB87" s="28"/>
      <c r="AC87" s="28"/>
      <c r="AD87" s="29">
        <v>23456</v>
      </c>
      <c r="AE87" s="29" t="s">
        <v>625</v>
      </c>
      <c r="AF87" s="28" t="s">
        <v>629</v>
      </c>
      <c r="AG87" s="35"/>
      <c r="AH87" s="5"/>
      <c r="AI87" s="5"/>
      <c r="AJ87" s="5" t="s">
        <v>15</v>
      </c>
      <c r="AK87" s="5"/>
      <c r="AL87" s="5"/>
      <c r="AM87" s="5"/>
      <c r="AN87" s="5"/>
      <c r="AO87" s="5"/>
      <c r="AP87" s="5"/>
      <c r="AQ87" s="5"/>
      <c r="AR87" s="5"/>
      <c r="AS87" s="5" t="s">
        <v>106</v>
      </c>
      <c r="AT87" s="5" t="s">
        <v>108</v>
      </c>
      <c r="AU87" s="5" t="s">
        <v>104</v>
      </c>
      <c r="AV87" s="5"/>
      <c r="AW87" s="5" t="s">
        <v>104</v>
      </c>
      <c r="AX87" s="11" t="s">
        <v>730</v>
      </c>
      <c r="AY87" s="12" t="str">
        <f>IFERROR(VLOOKUP(MATCH(" ",AG87:AQ87,-1),'[1]erlaubte Werte'!J$2:K$13,2,0),"")</f>
        <v/>
      </c>
      <c r="AZ87" s="46"/>
      <c r="BA87" s="7"/>
    </row>
    <row r="88" spans="1:53" s="49" customFormat="1" ht="15" customHeight="1">
      <c r="A88" s="47">
        <f t="shared" si="3"/>
        <v>85</v>
      </c>
      <c r="B88" s="4" t="s">
        <v>263</v>
      </c>
      <c r="C88" s="4" t="s">
        <v>383</v>
      </c>
      <c r="D88" s="21">
        <v>42454</v>
      </c>
      <c r="E88" s="66"/>
      <c r="F88" s="13"/>
      <c r="G88" s="4"/>
      <c r="H88" s="4" t="s">
        <v>143</v>
      </c>
      <c r="I88" s="4" t="s">
        <v>142</v>
      </c>
      <c r="J88" s="4" t="s">
        <v>142</v>
      </c>
      <c r="K88" s="4" t="s">
        <v>142</v>
      </c>
      <c r="L88" s="4" t="s">
        <v>142</v>
      </c>
      <c r="M88" s="22"/>
      <c r="N88" s="23" t="s">
        <v>15</v>
      </c>
      <c r="O88" s="23" t="s">
        <v>15</v>
      </c>
      <c r="P88" s="23"/>
      <c r="Q88" s="23"/>
      <c r="R88" s="24"/>
      <c r="S88" s="6" t="s">
        <v>428</v>
      </c>
      <c r="T88" s="4" t="s">
        <v>550</v>
      </c>
      <c r="U88" s="4" t="s">
        <v>286</v>
      </c>
      <c r="V88" s="4" t="s">
        <v>406</v>
      </c>
      <c r="W88" s="4" t="s">
        <v>290</v>
      </c>
      <c r="X88" s="4" t="s">
        <v>410</v>
      </c>
      <c r="Y88" s="28" t="s">
        <v>122</v>
      </c>
      <c r="Z88" s="4"/>
      <c r="AA88" s="4"/>
      <c r="AB88" s="28"/>
      <c r="AC88" s="28"/>
      <c r="AD88" s="29">
        <v>12345</v>
      </c>
      <c r="AE88" s="29" t="s">
        <v>624</v>
      </c>
      <c r="AF88" s="28" t="s">
        <v>630</v>
      </c>
      <c r="AG88" s="35"/>
      <c r="AH88" s="5"/>
      <c r="AI88" s="5"/>
      <c r="AJ88" s="5" t="s">
        <v>15</v>
      </c>
      <c r="AK88" s="5"/>
      <c r="AL88" s="5"/>
      <c r="AM88" s="5"/>
      <c r="AN88" s="5"/>
      <c r="AO88" s="5"/>
      <c r="AP88" s="5"/>
      <c r="AQ88" s="5"/>
      <c r="AR88" s="5"/>
      <c r="AS88" s="5" t="s">
        <v>106</v>
      </c>
      <c r="AT88" s="5" t="s">
        <v>103</v>
      </c>
      <c r="AU88" s="5" t="s">
        <v>104</v>
      </c>
      <c r="AV88" s="5" t="s">
        <v>122</v>
      </c>
      <c r="AW88" s="5" t="s">
        <v>104</v>
      </c>
      <c r="AX88" s="11" t="s">
        <v>731</v>
      </c>
      <c r="AY88" s="12" t="s">
        <v>121</v>
      </c>
      <c r="AZ88" s="13"/>
      <c r="BA88" s="13"/>
    </row>
    <row r="89" spans="1:53" s="48" customFormat="1" ht="15" customHeight="1">
      <c r="A89" s="42">
        <f t="shared" si="3"/>
        <v>86</v>
      </c>
      <c r="B89" s="4" t="s">
        <v>264</v>
      </c>
      <c r="C89" s="4" t="s">
        <v>384</v>
      </c>
      <c r="D89" s="21">
        <v>42455</v>
      </c>
      <c r="E89" s="42"/>
      <c r="F89" s="12"/>
      <c r="G89" s="4"/>
      <c r="H89" s="4" t="s">
        <v>142</v>
      </c>
      <c r="I89" s="4" t="s">
        <v>144</v>
      </c>
      <c r="J89" s="4" t="s">
        <v>144</v>
      </c>
      <c r="K89" s="4" t="s">
        <v>144</v>
      </c>
      <c r="L89" s="4" t="s">
        <v>144</v>
      </c>
      <c r="M89" s="22"/>
      <c r="N89" s="25" t="s">
        <v>15</v>
      </c>
      <c r="O89" s="25" t="s">
        <v>15</v>
      </c>
      <c r="P89" s="25"/>
      <c r="Q89" s="25"/>
      <c r="R89" s="22"/>
      <c r="S89" s="6" t="s">
        <v>429</v>
      </c>
      <c r="T89" s="4" t="s">
        <v>551</v>
      </c>
      <c r="U89" s="4" t="s">
        <v>287</v>
      </c>
      <c r="V89" s="4" t="s">
        <v>407</v>
      </c>
      <c r="W89" s="4" t="s">
        <v>291</v>
      </c>
      <c r="X89" s="4" t="s">
        <v>411</v>
      </c>
      <c r="Y89" s="28" t="s">
        <v>122</v>
      </c>
      <c r="Z89" s="28"/>
      <c r="AA89" s="28"/>
      <c r="AB89" s="28"/>
      <c r="AC89" s="28"/>
      <c r="AD89" s="29">
        <v>12345</v>
      </c>
      <c r="AE89" s="29" t="s">
        <v>625</v>
      </c>
      <c r="AF89" s="28" t="s">
        <v>626</v>
      </c>
      <c r="AG89" s="35"/>
      <c r="AH89" s="5" t="s">
        <v>110</v>
      </c>
      <c r="AI89" s="5"/>
      <c r="AJ89" s="5"/>
      <c r="AK89" s="5"/>
      <c r="AL89" s="5"/>
      <c r="AM89" s="5"/>
      <c r="AN89" s="5"/>
      <c r="AO89" s="5"/>
      <c r="AP89" s="5"/>
      <c r="AQ89" s="5"/>
      <c r="AR89" s="5"/>
      <c r="AS89" s="5">
        <v>4</v>
      </c>
      <c r="AT89" s="5" t="s">
        <v>103</v>
      </c>
      <c r="AU89" s="5" t="s">
        <v>104</v>
      </c>
      <c r="AV89" s="5" t="s">
        <v>122</v>
      </c>
      <c r="AW89" s="5" t="s">
        <v>104</v>
      </c>
      <c r="AX89" s="11" t="s">
        <v>732</v>
      </c>
      <c r="AY89" s="12" t="s">
        <v>121</v>
      </c>
      <c r="AZ89" s="12"/>
      <c r="BA89" s="12"/>
    </row>
    <row r="90" spans="1:53" s="48" customFormat="1" ht="15" customHeight="1">
      <c r="A90" s="42">
        <f t="shared" si="3"/>
        <v>87</v>
      </c>
      <c r="B90" s="4" t="s">
        <v>265</v>
      </c>
      <c r="C90" s="4" t="s">
        <v>385</v>
      </c>
      <c r="D90" s="21">
        <v>42456</v>
      </c>
      <c r="E90" s="52"/>
      <c r="F90" s="46"/>
      <c r="G90" s="4"/>
      <c r="H90" s="4" t="s">
        <v>143</v>
      </c>
      <c r="I90" s="4" t="s">
        <v>142</v>
      </c>
      <c r="J90" s="4" t="s">
        <v>143</v>
      </c>
      <c r="K90" s="4" t="s">
        <v>143</v>
      </c>
      <c r="L90" s="4" t="s">
        <v>143</v>
      </c>
      <c r="M90" s="22" t="s">
        <v>15</v>
      </c>
      <c r="N90" s="25"/>
      <c r="O90" s="25"/>
      <c r="P90" s="25" t="s">
        <v>15</v>
      </c>
      <c r="Q90" s="25"/>
      <c r="R90" s="22"/>
      <c r="S90" s="6" t="s">
        <v>430</v>
      </c>
      <c r="T90" s="4" t="s">
        <v>552</v>
      </c>
      <c r="U90" s="4" t="s">
        <v>288</v>
      </c>
      <c r="V90" s="4" t="s">
        <v>408</v>
      </c>
      <c r="W90" s="4" t="s">
        <v>292</v>
      </c>
      <c r="X90" s="4" t="s">
        <v>412</v>
      </c>
      <c r="Y90" s="28" t="s">
        <v>473</v>
      </c>
      <c r="Z90" s="28"/>
      <c r="AA90" s="28"/>
      <c r="AB90" s="28"/>
      <c r="AC90" s="28"/>
      <c r="AD90" s="29">
        <v>23456</v>
      </c>
      <c r="AE90" s="29" t="s">
        <v>624</v>
      </c>
      <c r="AF90" s="28" t="s">
        <v>627</v>
      </c>
      <c r="AG90" s="35"/>
      <c r="AH90" s="5"/>
      <c r="AI90" s="5"/>
      <c r="AJ90" s="5"/>
      <c r="AK90" s="5" t="s">
        <v>112</v>
      </c>
      <c r="AL90" s="5"/>
      <c r="AM90" s="5"/>
      <c r="AN90" s="5"/>
      <c r="AO90" s="5"/>
      <c r="AP90" s="5"/>
      <c r="AQ90" s="5"/>
      <c r="AR90" s="5"/>
      <c r="AS90" s="5" t="s">
        <v>111</v>
      </c>
      <c r="AT90" s="5" t="s">
        <v>108</v>
      </c>
      <c r="AU90" s="5" t="s">
        <v>104</v>
      </c>
      <c r="AV90" s="5" t="s">
        <v>122</v>
      </c>
      <c r="AW90" s="5" t="s">
        <v>104</v>
      </c>
      <c r="AX90" s="11" t="s">
        <v>733</v>
      </c>
      <c r="AY90" s="12" t="str">
        <f>IFERROR(VLOOKUP(MATCH(" ",AG90:AQ90,-1),'[1]erlaubte Werte'!J$2:K$13,2,0),"")</f>
        <v/>
      </c>
      <c r="AZ90" s="46"/>
      <c r="BA90" s="7"/>
    </row>
    <row r="91" spans="1:53" s="49" customFormat="1" ht="15" customHeight="1">
      <c r="A91" s="42">
        <f t="shared" si="3"/>
        <v>88</v>
      </c>
      <c r="B91" s="4" t="s">
        <v>266</v>
      </c>
      <c r="C91" s="4" t="s">
        <v>386</v>
      </c>
      <c r="D91" s="21">
        <v>42457</v>
      </c>
      <c r="E91" s="52" t="s">
        <v>173</v>
      </c>
      <c r="F91" s="46" t="s">
        <v>96</v>
      </c>
      <c r="G91" s="4"/>
      <c r="H91" s="4" t="s">
        <v>144</v>
      </c>
      <c r="I91" s="4" t="s">
        <v>141</v>
      </c>
      <c r="J91" s="4" t="s">
        <v>142</v>
      </c>
      <c r="K91" s="4" t="s">
        <v>142</v>
      </c>
      <c r="L91" s="4" t="s">
        <v>142</v>
      </c>
      <c r="M91" s="22" t="s">
        <v>15</v>
      </c>
      <c r="N91" s="23"/>
      <c r="O91" s="23"/>
      <c r="P91" s="23" t="s">
        <v>15</v>
      </c>
      <c r="Q91" s="23"/>
      <c r="R91" s="24"/>
      <c r="S91" s="6" t="s">
        <v>431</v>
      </c>
      <c r="T91" s="4" t="s">
        <v>553</v>
      </c>
      <c r="U91" s="4" t="s">
        <v>289</v>
      </c>
      <c r="V91" s="4" t="s">
        <v>409</v>
      </c>
      <c r="W91" s="4" t="s">
        <v>293</v>
      </c>
      <c r="X91" s="4" t="s">
        <v>413</v>
      </c>
      <c r="Y91" s="28"/>
      <c r="Z91" s="28"/>
      <c r="AA91" s="28"/>
      <c r="AB91" s="28"/>
      <c r="AC91" s="28"/>
      <c r="AD91" s="29">
        <v>23456</v>
      </c>
      <c r="AE91" s="29" t="s">
        <v>625</v>
      </c>
      <c r="AF91" s="28" t="s">
        <v>628</v>
      </c>
      <c r="AG91" s="35"/>
      <c r="AH91" s="5" t="s">
        <v>118</v>
      </c>
      <c r="AI91" s="5"/>
      <c r="AJ91" s="5"/>
      <c r="AK91" s="5"/>
      <c r="AL91" s="5"/>
      <c r="AM91" s="5"/>
      <c r="AN91" s="5"/>
      <c r="AO91" s="5"/>
      <c r="AP91" s="5"/>
      <c r="AQ91" s="5"/>
      <c r="AR91" s="5"/>
      <c r="AS91" s="5">
        <v>4</v>
      </c>
      <c r="AT91" s="5" t="s">
        <v>108</v>
      </c>
      <c r="AU91" s="5" t="s">
        <v>104</v>
      </c>
      <c r="AV91" s="5"/>
      <c r="AW91" s="5" t="s">
        <v>104</v>
      </c>
      <c r="AX91" s="11" t="s">
        <v>734</v>
      </c>
      <c r="AY91" s="12" t="str">
        <f>IFERROR(VLOOKUP(MATCH(" ",AG91:AQ91,-1),'[1]erlaubte Werte'!J$2:K$13,2,0),"")</f>
        <v/>
      </c>
      <c r="AZ91" s="46"/>
      <c r="BA91" s="8"/>
    </row>
    <row r="92" spans="1:53" s="49" customFormat="1" ht="15" customHeight="1">
      <c r="A92" s="42">
        <f t="shared" si="3"/>
        <v>89</v>
      </c>
      <c r="B92" s="4" t="s">
        <v>267</v>
      </c>
      <c r="C92" s="4" t="s">
        <v>387</v>
      </c>
      <c r="D92" s="21">
        <v>42458</v>
      </c>
      <c r="E92" s="67"/>
      <c r="F92" s="14"/>
      <c r="G92" s="4"/>
      <c r="H92" s="4" t="s">
        <v>144</v>
      </c>
      <c r="I92" s="4" t="s">
        <v>142</v>
      </c>
      <c r="J92" s="4" t="s">
        <v>142</v>
      </c>
      <c r="K92" s="4" t="s">
        <v>143</v>
      </c>
      <c r="L92" s="4" t="s">
        <v>143</v>
      </c>
      <c r="M92" s="22" t="s">
        <v>15</v>
      </c>
      <c r="N92" s="25"/>
      <c r="O92" s="25" t="s">
        <v>15</v>
      </c>
      <c r="P92" s="25"/>
      <c r="Q92" s="25"/>
      <c r="R92" s="22"/>
      <c r="S92" s="6" t="s">
        <v>432</v>
      </c>
      <c r="T92" s="4" t="s">
        <v>554</v>
      </c>
      <c r="U92" s="4" t="s">
        <v>290</v>
      </c>
      <c r="V92" s="4" t="s">
        <v>410</v>
      </c>
      <c r="W92" s="4" t="s">
        <v>294</v>
      </c>
      <c r="X92" s="4" t="s">
        <v>414</v>
      </c>
      <c r="Y92" s="28" t="s">
        <v>122</v>
      </c>
      <c r="Z92" s="28"/>
      <c r="AA92" s="28"/>
      <c r="AB92" s="28"/>
      <c r="AC92" s="28"/>
      <c r="AD92" s="29">
        <v>12345</v>
      </c>
      <c r="AE92" s="29" t="s">
        <v>624</v>
      </c>
      <c r="AF92" s="28" t="s">
        <v>629</v>
      </c>
      <c r="AG92" s="35"/>
      <c r="AH92" s="5"/>
      <c r="AI92" s="5" t="s">
        <v>15</v>
      </c>
      <c r="AJ92" s="5"/>
      <c r="AK92" s="5"/>
      <c r="AL92" s="5"/>
      <c r="AM92" s="5"/>
      <c r="AN92" s="5"/>
      <c r="AO92" s="5"/>
      <c r="AP92" s="5"/>
      <c r="AQ92" s="5"/>
      <c r="AR92" s="5"/>
      <c r="AS92" s="5" t="s">
        <v>106</v>
      </c>
      <c r="AT92" s="5" t="s">
        <v>103</v>
      </c>
      <c r="AU92" s="5" t="s">
        <v>104</v>
      </c>
      <c r="AV92" s="5" t="s">
        <v>128</v>
      </c>
      <c r="AW92" s="5" t="s">
        <v>104</v>
      </c>
      <c r="AX92" s="11" t="s">
        <v>735</v>
      </c>
      <c r="AY92" s="12" t="s">
        <v>121</v>
      </c>
      <c r="AZ92" s="14"/>
      <c r="BA92" s="14"/>
    </row>
    <row r="93" spans="1:53" s="49" customFormat="1" ht="15" customHeight="1">
      <c r="A93" s="42">
        <f t="shared" si="3"/>
        <v>90</v>
      </c>
      <c r="B93" s="4" t="s">
        <v>268</v>
      </c>
      <c r="C93" s="4" t="s">
        <v>388</v>
      </c>
      <c r="D93" s="21">
        <v>42459</v>
      </c>
      <c r="E93" s="42"/>
      <c r="F93" s="12"/>
      <c r="G93" s="4"/>
      <c r="H93" s="4" t="s">
        <v>142</v>
      </c>
      <c r="I93" s="4" t="s">
        <v>144</v>
      </c>
      <c r="J93" s="4" t="s">
        <v>143</v>
      </c>
      <c r="K93" s="4" t="s">
        <v>143</v>
      </c>
      <c r="L93" s="4" t="s">
        <v>143</v>
      </c>
      <c r="M93" s="22" t="s">
        <v>15</v>
      </c>
      <c r="N93" s="25"/>
      <c r="O93" s="25" t="s">
        <v>15</v>
      </c>
      <c r="P93" s="25"/>
      <c r="Q93" s="25"/>
      <c r="R93" s="22"/>
      <c r="S93" s="6" t="s">
        <v>433</v>
      </c>
      <c r="T93" s="4" t="s">
        <v>555</v>
      </c>
      <c r="U93" s="4" t="s">
        <v>291</v>
      </c>
      <c r="V93" s="4" t="s">
        <v>411</v>
      </c>
      <c r="W93" s="4" t="s">
        <v>295</v>
      </c>
      <c r="X93" s="4" t="s">
        <v>415</v>
      </c>
      <c r="Y93" s="28" t="s">
        <v>474</v>
      </c>
      <c r="Z93" s="28"/>
      <c r="AA93" s="28"/>
      <c r="AB93" s="28"/>
      <c r="AC93" s="28"/>
      <c r="AD93" s="29">
        <v>12345</v>
      </c>
      <c r="AE93" s="29" t="s">
        <v>625</v>
      </c>
      <c r="AF93" s="28" t="s">
        <v>630</v>
      </c>
      <c r="AG93" s="35"/>
      <c r="AH93" s="5" t="s">
        <v>15</v>
      </c>
      <c r="AI93" s="5"/>
      <c r="AJ93" s="5"/>
      <c r="AK93" s="5"/>
      <c r="AL93" s="5"/>
      <c r="AM93" s="5"/>
      <c r="AN93" s="5"/>
      <c r="AO93" s="5"/>
      <c r="AP93" s="5"/>
      <c r="AQ93" s="5"/>
      <c r="AR93" s="5"/>
      <c r="AS93" s="5" t="s">
        <v>102</v>
      </c>
      <c r="AT93" s="5" t="s">
        <v>108</v>
      </c>
      <c r="AU93" s="5" t="s">
        <v>104</v>
      </c>
      <c r="AV93" s="5" t="s">
        <v>122</v>
      </c>
      <c r="AW93" s="5" t="s">
        <v>104</v>
      </c>
      <c r="AX93" s="11" t="s">
        <v>736</v>
      </c>
      <c r="AY93" s="12" t="s">
        <v>121</v>
      </c>
      <c r="AZ93" s="12"/>
      <c r="BA93" s="12"/>
    </row>
    <row r="94" spans="1:53" s="49" customFormat="1" ht="15" customHeight="1">
      <c r="A94" s="42">
        <f t="shared" si="3"/>
        <v>91</v>
      </c>
      <c r="B94" s="4" t="s">
        <v>269</v>
      </c>
      <c r="C94" s="4" t="s">
        <v>389</v>
      </c>
      <c r="D94" s="21">
        <v>42460</v>
      </c>
      <c r="E94" s="67"/>
      <c r="F94" s="14"/>
      <c r="G94" s="4"/>
      <c r="H94" s="4" t="s">
        <v>141</v>
      </c>
      <c r="I94" s="4" t="s">
        <v>143</v>
      </c>
      <c r="J94" s="4" t="s">
        <v>141</v>
      </c>
      <c r="K94" s="4" t="s">
        <v>142</v>
      </c>
      <c r="L94" s="4" t="s">
        <v>141</v>
      </c>
      <c r="M94" s="22" t="s">
        <v>15</v>
      </c>
      <c r="N94" s="25"/>
      <c r="O94" s="25" t="s">
        <v>15</v>
      </c>
      <c r="P94" s="25"/>
      <c r="Q94" s="25"/>
      <c r="R94" s="22"/>
      <c r="S94" s="6" t="s">
        <v>434</v>
      </c>
      <c r="T94" s="4" t="s">
        <v>556</v>
      </c>
      <c r="U94" s="4" t="s">
        <v>292</v>
      </c>
      <c r="V94" s="4" t="s">
        <v>412</v>
      </c>
      <c r="W94" s="4" t="s">
        <v>296</v>
      </c>
      <c r="X94" s="4" t="s">
        <v>416</v>
      </c>
      <c r="Y94" s="28" t="s">
        <v>475</v>
      </c>
      <c r="Z94" s="28"/>
      <c r="AA94" s="28"/>
      <c r="AB94" s="28"/>
      <c r="AC94" s="28"/>
      <c r="AD94" s="29">
        <v>23456</v>
      </c>
      <c r="AE94" s="29" t="s">
        <v>624</v>
      </c>
      <c r="AF94" s="28" t="s">
        <v>626</v>
      </c>
      <c r="AG94" s="35"/>
      <c r="AH94" s="5" t="s">
        <v>109</v>
      </c>
      <c r="AI94" s="5"/>
      <c r="AJ94" s="5"/>
      <c r="AK94" s="5"/>
      <c r="AL94" s="5"/>
      <c r="AM94" s="5"/>
      <c r="AN94" s="5"/>
      <c r="AO94" s="5"/>
      <c r="AP94" s="5"/>
      <c r="AQ94" s="5"/>
      <c r="AR94" s="5"/>
      <c r="AS94" s="5">
        <v>4</v>
      </c>
      <c r="AT94" s="5" t="s">
        <v>108</v>
      </c>
      <c r="AU94" s="5" t="s">
        <v>104</v>
      </c>
      <c r="AV94" s="5" t="s">
        <v>122</v>
      </c>
      <c r="AW94" s="5" t="s">
        <v>104</v>
      </c>
      <c r="AX94" s="11" t="s">
        <v>737</v>
      </c>
      <c r="AY94" s="12" t="s">
        <v>121</v>
      </c>
      <c r="AZ94" s="14"/>
      <c r="BA94" s="14"/>
    </row>
    <row r="95" spans="1:53" s="49" customFormat="1" ht="15" customHeight="1">
      <c r="A95" s="42">
        <f t="shared" si="3"/>
        <v>92</v>
      </c>
      <c r="B95" s="4" t="s">
        <v>270</v>
      </c>
      <c r="C95" s="4" t="s">
        <v>390</v>
      </c>
      <c r="D95" s="21">
        <v>42461</v>
      </c>
      <c r="E95" s="52"/>
      <c r="F95" s="46"/>
      <c r="G95" s="4"/>
      <c r="H95" s="4" t="s">
        <v>144</v>
      </c>
      <c r="I95" s="4" t="s">
        <v>142</v>
      </c>
      <c r="J95" s="4" t="s">
        <v>143</v>
      </c>
      <c r="K95" s="4" t="s">
        <v>141</v>
      </c>
      <c r="L95" s="4" t="s">
        <v>143</v>
      </c>
      <c r="M95" s="22"/>
      <c r="N95" s="25" t="s">
        <v>15</v>
      </c>
      <c r="O95" s="25"/>
      <c r="P95" s="25"/>
      <c r="Q95" s="25" t="s">
        <v>15</v>
      </c>
      <c r="R95" s="22"/>
      <c r="S95" s="6" t="s">
        <v>435</v>
      </c>
      <c r="T95" s="4" t="s">
        <v>557</v>
      </c>
      <c r="U95" s="4" t="s">
        <v>293</v>
      </c>
      <c r="V95" s="4" t="s">
        <v>413</v>
      </c>
      <c r="W95" s="4" t="s">
        <v>297</v>
      </c>
      <c r="X95" s="4" t="s">
        <v>417</v>
      </c>
      <c r="Y95" s="28" t="s">
        <v>476</v>
      </c>
      <c r="Z95" s="28"/>
      <c r="AA95" s="28"/>
      <c r="AB95" s="28"/>
      <c r="AC95" s="28"/>
      <c r="AD95" s="29">
        <v>23456</v>
      </c>
      <c r="AE95" s="29" t="s">
        <v>625</v>
      </c>
      <c r="AF95" s="28" t="s">
        <v>627</v>
      </c>
      <c r="AG95" s="35"/>
      <c r="AH95" s="5"/>
      <c r="AI95" s="5" t="s">
        <v>15</v>
      </c>
      <c r="AJ95" s="5"/>
      <c r="AK95" s="5"/>
      <c r="AL95" s="5"/>
      <c r="AM95" s="5"/>
      <c r="AN95" s="5"/>
      <c r="AO95" s="5"/>
      <c r="AP95" s="5"/>
      <c r="AQ95" s="5"/>
      <c r="AR95" s="5"/>
      <c r="AS95" s="5" t="s">
        <v>117</v>
      </c>
      <c r="AT95" s="5" t="s">
        <v>103</v>
      </c>
      <c r="AU95" s="5" t="s">
        <v>104</v>
      </c>
      <c r="AV95" s="5"/>
      <c r="AW95" s="5" t="s">
        <v>104</v>
      </c>
      <c r="AX95" s="11" t="s">
        <v>738</v>
      </c>
      <c r="AY95" s="12" t="str">
        <f>IFERROR(VLOOKUP(MATCH(" ",AG95:AQ95,-1),'[1]erlaubte Werte'!J$2:K$13,2,0),"")</f>
        <v/>
      </c>
      <c r="AZ95" s="46"/>
      <c r="BA95" s="7"/>
    </row>
    <row r="96" spans="1:53" s="49" customFormat="1" ht="15" customHeight="1">
      <c r="A96" s="42">
        <f t="shared" si="3"/>
        <v>93</v>
      </c>
      <c r="B96" s="4" t="s">
        <v>271</v>
      </c>
      <c r="C96" s="4" t="s">
        <v>391</v>
      </c>
      <c r="D96" s="21">
        <v>42462</v>
      </c>
      <c r="E96" s="66"/>
      <c r="F96" s="13"/>
      <c r="G96" s="4"/>
      <c r="H96" s="4" t="s">
        <v>142</v>
      </c>
      <c r="I96" s="4" t="s">
        <v>143</v>
      </c>
      <c r="J96" s="4" t="s">
        <v>141</v>
      </c>
      <c r="K96" s="4" t="s">
        <v>141</v>
      </c>
      <c r="L96" s="4" t="s">
        <v>141</v>
      </c>
      <c r="M96" s="22"/>
      <c r="N96" s="25" t="s">
        <v>15</v>
      </c>
      <c r="O96" s="25" t="s">
        <v>15</v>
      </c>
      <c r="P96" s="25"/>
      <c r="Q96" s="25"/>
      <c r="R96" s="22"/>
      <c r="S96" s="6" t="s">
        <v>436</v>
      </c>
      <c r="T96" s="4" t="s">
        <v>558</v>
      </c>
      <c r="U96" s="4" t="s">
        <v>294</v>
      </c>
      <c r="V96" s="4" t="s">
        <v>414</v>
      </c>
      <c r="W96" s="4" t="s">
        <v>298</v>
      </c>
      <c r="X96" s="4" t="s">
        <v>418</v>
      </c>
      <c r="Y96" s="28" t="s">
        <v>477</v>
      </c>
      <c r="Z96" s="28"/>
      <c r="AA96" s="28"/>
      <c r="AB96" s="28"/>
      <c r="AC96" s="28"/>
      <c r="AD96" s="29">
        <v>12345</v>
      </c>
      <c r="AE96" s="29" t="s">
        <v>624</v>
      </c>
      <c r="AF96" s="28" t="s">
        <v>628</v>
      </c>
      <c r="AG96" s="35"/>
      <c r="AH96" s="5"/>
      <c r="AI96" s="5" t="s">
        <v>15</v>
      </c>
      <c r="AJ96" s="5"/>
      <c r="AK96" s="5"/>
      <c r="AL96" s="5"/>
      <c r="AM96" s="5"/>
      <c r="AN96" s="5"/>
      <c r="AO96" s="5"/>
      <c r="AP96" s="5"/>
      <c r="AQ96" s="5"/>
      <c r="AR96" s="5"/>
      <c r="AS96" s="5" t="s">
        <v>106</v>
      </c>
      <c r="AT96" s="5" t="s">
        <v>103</v>
      </c>
      <c r="AU96" s="5" t="s">
        <v>104</v>
      </c>
      <c r="AV96" s="5" t="s">
        <v>122</v>
      </c>
      <c r="AW96" s="5" t="s">
        <v>104</v>
      </c>
      <c r="AX96" s="11" t="s">
        <v>739</v>
      </c>
      <c r="AY96" s="12" t="s">
        <v>121</v>
      </c>
      <c r="AZ96" s="13"/>
      <c r="BA96" s="13"/>
    </row>
    <row r="97" spans="1:53" s="49" customFormat="1" ht="15" customHeight="1">
      <c r="A97" s="42">
        <f t="shared" si="3"/>
        <v>94</v>
      </c>
      <c r="B97" s="4" t="s">
        <v>272</v>
      </c>
      <c r="C97" s="4" t="s">
        <v>392</v>
      </c>
      <c r="D97" s="21">
        <v>42463</v>
      </c>
      <c r="E97" s="52"/>
      <c r="F97" s="46"/>
      <c r="G97" s="4" t="s">
        <v>144</v>
      </c>
      <c r="H97" s="4" t="s">
        <v>144</v>
      </c>
      <c r="I97" s="4" t="s">
        <v>144</v>
      </c>
      <c r="J97" s="4" t="s">
        <v>144</v>
      </c>
      <c r="K97" s="4" t="s">
        <v>144</v>
      </c>
      <c r="L97" s="4" t="s">
        <v>144</v>
      </c>
      <c r="M97" s="22"/>
      <c r="N97" s="25" t="s">
        <v>15</v>
      </c>
      <c r="O97" s="25"/>
      <c r="P97" s="25"/>
      <c r="Q97" s="25" t="s">
        <v>15</v>
      </c>
      <c r="R97" s="22"/>
      <c r="S97" s="6" t="s">
        <v>437</v>
      </c>
      <c r="T97" s="4" t="s">
        <v>559</v>
      </c>
      <c r="U97" s="4" t="s">
        <v>295</v>
      </c>
      <c r="V97" s="4" t="s">
        <v>415</v>
      </c>
      <c r="W97" s="4" t="s">
        <v>299</v>
      </c>
      <c r="X97" s="4" t="s">
        <v>419</v>
      </c>
      <c r="Y97" s="28" t="s">
        <v>478</v>
      </c>
      <c r="Z97" s="28"/>
      <c r="AA97" s="28"/>
      <c r="AB97" s="28"/>
      <c r="AC97" s="28"/>
      <c r="AD97" s="29">
        <v>12345</v>
      </c>
      <c r="AE97" s="29" t="s">
        <v>625</v>
      </c>
      <c r="AF97" s="28" t="s">
        <v>629</v>
      </c>
      <c r="AG97" s="35"/>
      <c r="AH97" s="5"/>
      <c r="AI97" s="5" t="s">
        <v>15</v>
      </c>
      <c r="AJ97" s="5"/>
      <c r="AK97" s="5"/>
      <c r="AL97" s="5"/>
      <c r="AM97" s="5"/>
      <c r="AN97" s="5"/>
      <c r="AO97" s="5"/>
      <c r="AP97" s="5"/>
      <c r="AQ97" s="5"/>
      <c r="AR97" s="5"/>
      <c r="AS97" s="5" t="s">
        <v>106</v>
      </c>
      <c r="AT97" s="5" t="s">
        <v>108</v>
      </c>
      <c r="AU97" s="5" t="s">
        <v>104</v>
      </c>
      <c r="AV97" s="5" t="s">
        <v>122</v>
      </c>
      <c r="AW97" s="5" t="s">
        <v>104</v>
      </c>
      <c r="AX97" s="11" t="s">
        <v>740</v>
      </c>
      <c r="AY97" s="12" t="str">
        <f>IFERROR(VLOOKUP(MATCH(" ",AG97:AQ97,-1),'[1]erlaubte Werte'!J$2:K$13,2,0),"")</f>
        <v/>
      </c>
      <c r="AZ97" s="46"/>
      <c r="BA97" s="7"/>
    </row>
    <row r="98" spans="1:53" s="49" customFormat="1" ht="15" customHeight="1">
      <c r="A98" s="42">
        <f t="shared" si="3"/>
        <v>95</v>
      </c>
      <c r="B98" s="4" t="s">
        <v>273</v>
      </c>
      <c r="C98" s="4" t="s">
        <v>393</v>
      </c>
      <c r="D98" s="21">
        <v>42464</v>
      </c>
      <c r="E98" s="52"/>
      <c r="F98" s="46"/>
      <c r="G98" s="4" t="s">
        <v>142</v>
      </c>
      <c r="H98" s="4" t="s">
        <v>142</v>
      </c>
      <c r="I98" s="4" t="s">
        <v>142</v>
      </c>
      <c r="J98" s="4" t="s">
        <v>142</v>
      </c>
      <c r="K98" s="4" t="s">
        <v>142</v>
      </c>
      <c r="L98" s="4" t="s">
        <v>142</v>
      </c>
      <c r="M98" s="22" t="s">
        <v>15</v>
      </c>
      <c r="N98" s="25"/>
      <c r="O98" s="25"/>
      <c r="P98" s="25" t="s">
        <v>15</v>
      </c>
      <c r="Q98" s="25"/>
      <c r="R98" s="22"/>
      <c r="S98" s="6" t="s">
        <v>438</v>
      </c>
      <c r="T98" s="4" t="s">
        <v>560</v>
      </c>
      <c r="U98" s="4" t="s">
        <v>296</v>
      </c>
      <c r="V98" s="4" t="s">
        <v>416</v>
      </c>
      <c r="W98" s="4" t="s">
        <v>300</v>
      </c>
      <c r="X98" s="4" t="s">
        <v>420</v>
      </c>
      <c r="Y98" s="28" t="s">
        <v>479</v>
      </c>
      <c r="Z98" s="28"/>
      <c r="AA98" s="28"/>
      <c r="AB98" s="28"/>
      <c r="AC98" s="28"/>
      <c r="AD98" s="29">
        <v>23456</v>
      </c>
      <c r="AE98" s="29" t="s">
        <v>624</v>
      </c>
      <c r="AF98" s="28" t="s">
        <v>630</v>
      </c>
      <c r="AG98" s="35"/>
      <c r="AH98" s="5"/>
      <c r="AI98" s="5"/>
      <c r="AJ98" s="5"/>
      <c r="AK98" s="5"/>
      <c r="AL98" s="5" t="s">
        <v>15</v>
      </c>
      <c r="AM98" s="5"/>
      <c r="AN98" s="5"/>
      <c r="AO98" s="5"/>
      <c r="AP98" s="5"/>
      <c r="AQ98" s="5"/>
      <c r="AR98" s="5"/>
      <c r="AS98" s="5" t="s">
        <v>111</v>
      </c>
      <c r="AT98" s="5" t="s">
        <v>108</v>
      </c>
      <c r="AU98" s="5" t="s">
        <v>104</v>
      </c>
      <c r="AV98" s="5"/>
      <c r="AW98" s="5" t="s">
        <v>104</v>
      </c>
      <c r="AX98" s="11" t="s">
        <v>741</v>
      </c>
      <c r="AY98" s="12" t="str">
        <f>IFERROR(VLOOKUP(MATCH(" ",AG98:AQ98,-1),'[1]erlaubte Werte'!J$2:K$13,2,0),"")</f>
        <v/>
      </c>
      <c r="AZ98" s="46"/>
      <c r="BA98" s="7"/>
    </row>
    <row r="99" spans="1:53" s="49" customFormat="1" ht="15" customHeight="1">
      <c r="A99" s="42">
        <f t="shared" si="3"/>
        <v>96</v>
      </c>
      <c r="B99" s="4" t="s">
        <v>274</v>
      </c>
      <c r="C99" s="4" t="s">
        <v>394</v>
      </c>
      <c r="D99" s="21">
        <v>42465</v>
      </c>
      <c r="E99" s="67"/>
      <c r="F99" s="14"/>
      <c r="G99" s="4" t="s">
        <v>143</v>
      </c>
      <c r="H99" s="4" t="s">
        <v>143</v>
      </c>
      <c r="I99" s="4" t="s">
        <v>143</v>
      </c>
      <c r="J99" s="4" t="s">
        <v>143</v>
      </c>
      <c r="K99" s="4" t="s">
        <v>143</v>
      </c>
      <c r="L99" s="4" t="s">
        <v>143</v>
      </c>
      <c r="M99" s="22"/>
      <c r="N99" s="25" t="s">
        <v>15</v>
      </c>
      <c r="O99" s="25" t="s">
        <v>15</v>
      </c>
      <c r="P99" s="25"/>
      <c r="Q99" s="25"/>
      <c r="R99" s="22"/>
      <c r="S99" s="6" t="s">
        <v>439</v>
      </c>
      <c r="T99" s="4" t="s">
        <v>561</v>
      </c>
      <c r="U99" s="4" t="s">
        <v>297</v>
      </c>
      <c r="V99" s="4" t="s">
        <v>417</v>
      </c>
      <c r="W99" s="4" t="s">
        <v>589</v>
      </c>
      <c r="X99" s="4" t="s">
        <v>590</v>
      </c>
      <c r="Y99" s="28" t="s">
        <v>480</v>
      </c>
      <c r="Z99" s="28"/>
      <c r="AA99" s="28"/>
      <c r="AB99" s="28"/>
      <c r="AC99" s="28"/>
      <c r="AD99" s="29">
        <v>23456</v>
      </c>
      <c r="AE99" s="29" t="s">
        <v>625</v>
      </c>
      <c r="AF99" s="28" t="s">
        <v>626</v>
      </c>
      <c r="AG99" s="35" t="s">
        <v>15</v>
      </c>
      <c r="AH99" s="5"/>
      <c r="AI99" s="5"/>
      <c r="AJ99" s="5"/>
      <c r="AK99" s="5"/>
      <c r="AL99" s="5"/>
      <c r="AM99" s="5"/>
      <c r="AN99" s="5"/>
      <c r="AO99" s="5"/>
      <c r="AP99" s="5"/>
      <c r="AQ99" s="5"/>
      <c r="AR99" s="5"/>
      <c r="AS99" s="5" t="s">
        <v>102</v>
      </c>
      <c r="AT99" s="5" t="s">
        <v>108</v>
      </c>
      <c r="AU99" s="5" t="s">
        <v>104</v>
      </c>
      <c r="AV99" s="5" t="s">
        <v>122</v>
      </c>
      <c r="AW99" s="5" t="s">
        <v>104</v>
      </c>
      <c r="AX99" s="11" t="s">
        <v>742</v>
      </c>
      <c r="AY99" s="12" t="s">
        <v>121</v>
      </c>
      <c r="AZ99" s="14"/>
      <c r="BA99" s="14"/>
    </row>
    <row r="100" spans="1:53" s="48" customFormat="1" ht="15" customHeight="1">
      <c r="A100" s="42">
        <f t="shared" ref="A100:A110" si="4">ROW(B100)-3</f>
        <v>97</v>
      </c>
      <c r="B100" s="4" t="s">
        <v>275</v>
      </c>
      <c r="C100" s="4" t="s">
        <v>395</v>
      </c>
      <c r="D100" s="21">
        <v>42466</v>
      </c>
      <c r="E100" s="52"/>
      <c r="F100" s="46"/>
      <c r="G100" s="4"/>
      <c r="H100" s="4" t="s">
        <v>143</v>
      </c>
      <c r="I100" s="4" t="s">
        <v>143</v>
      </c>
      <c r="J100" s="4" t="s">
        <v>144</v>
      </c>
      <c r="K100" s="4" t="s">
        <v>144</v>
      </c>
      <c r="L100" s="4" t="s">
        <v>143</v>
      </c>
      <c r="M100" s="22"/>
      <c r="N100" s="25" t="s">
        <v>15</v>
      </c>
      <c r="O100" s="25"/>
      <c r="P100" s="25" t="s">
        <v>15</v>
      </c>
      <c r="Q100" s="25"/>
      <c r="R100" s="22"/>
      <c r="S100" s="6" t="s">
        <v>440</v>
      </c>
      <c r="T100" s="4" t="s">
        <v>562</v>
      </c>
      <c r="U100" s="4" t="s">
        <v>298</v>
      </c>
      <c r="V100" s="4" t="s">
        <v>418</v>
      </c>
      <c r="W100" s="4" t="s">
        <v>591</v>
      </c>
      <c r="X100" s="4" t="s">
        <v>592</v>
      </c>
      <c r="Y100" s="28" t="s">
        <v>481</v>
      </c>
      <c r="Z100" s="28"/>
      <c r="AA100" s="28"/>
      <c r="AB100" s="28"/>
      <c r="AC100" s="28"/>
      <c r="AD100" s="29">
        <v>12345</v>
      </c>
      <c r="AE100" s="29" t="s">
        <v>624</v>
      </c>
      <c r="AF100" s="28" t="s">
        <v>627</v>
      </c>
      <c r="AG100" s="35" t="s">
        <v>15</v>
      </c>
      <c r="AH100" s="5"/>
      <c r="AI100" s="5"/>
      <c r="AJ100" s="5"/>
      <c r="AK100" s="5"/>
      <c r="AL100" s="5"/>
      <c r="AM100" s="5"/>
      <c r="AN100" s="5"/>
      <c r="AO100" s="5"/>
      <c r="AP100" s="5"/>
      <c r="AQ100" s="5"/>
      <c r="AR100" s="5"/>
      <c r="AS100" s="5" t="s">
        <v>102</v>
      </c>
      <c r="AT100" s="5" t="s">
        <v>108</v>
      </c>
      <c r="AU100" s="5" t="s">
        <v>104</v>
      </c>
      <c r="AV100" s="16" t="s">
        <v>122</v>
      </c>
      <c r="AW100" s="5" t="s">
        <v>104</v>
      </c>
      <c r="AX100" s="11" t="s">
        <v>743</v>
      </c>
      <c r="AY100" s="12" t="str">
        <f>IFERROR(VLOOKUP(MATCH(" ",AG100:AQ100,-1),'[1]erlaubte Werte'!J$2:K$13,2,0),"")</f>
        <v/>
      </c>
      <c r="AZ100" s="46"/>
      <c r="BA100" s="7"/>
    </row>
    <row r="101" spans="1:53" s="49" customFormat="1" ht="15" customHeight="1">
      <c r="A101" s="42">
        <f t="shared" si="4"/>
        <v>98</v>
      </c>
      <c r="B101" s="4" t="s">
        <v>276</v>
      </c>
      <c r="C101" s="4" t="s">
        <v>396</v>
      </c>
      <c r="D101" s="21">
        <v>42467</v>
      </c>
      <c r="E101" s="67"/>
      <c r="F101" s="14"/>
      <c r="G101" s="4"/>
      <c r="H101" s="4" t="s">
        <v>143</v>
      </c>
      <c r="I101" s="4" t="s">
        <v>142</v>
      </c>
      <c r="J101" s="4" t="s">
        <v>142</v>
      </c>
      <c r="K101" s="4" t="s">
        <v>142</v>
      </c>
      <c r="L101" s="4" t="s">
        <v>142</v>
      </c>
      <c r="M101" s="22" t="s">
        <v>15</v>
      </c>
      <c r="N101" s="25"/>
      <c r="O101" s="25" t="s">
        <v>15</v>
      </c>
      <c r="P101" s="25"/>
      <c r="Q101" s="25"/>
      <c r="R101" s="22"/>
      <c r="S101" s="6" t="s">
        <v>441</v>
      </c>
      <c r="T101" s="4" t="s">
        <v>563</v>
      </c>
      <c r="U101" s="4" t="s">
        <v>299</v>
      </c>
      <c r="V101" s="4" t="s">
        <v>419</v>
      </c>
      <c r="W101" s="4" t="s">
        <v>593</v>
      </c>
      <c r="X101" s="4" t="s">
        <v>594</v>
      </c>
      <c r="Y101" s="28" t="s">
        <v>482</v>
      </c>
      <c r="Z101" s="28"/>
      <c r="AA101" s="28"/>
      <c r="AB101" s="28"/>
      <c r="AC101" s="28"/>
      <c r="AD101" s="29">
        <v>12345</v>
      </c>
      <c r="AE101" s="29" t="s">
        <v>625</v>
      </c>
      <c r="AF101" s="28" t="s">
        <v>628</v>
      </c>
      <c r="AG101" s="35"/>
      <c r="AH101" s="5"/>
      <c r="AI101" s="5"/>
      <c r="AJ101" s="5"/>
      <c r="AK101" s="5"/>
      <c r="AL101" s="5" t="s">
        <v>15</v>
      </c>
      <c r="AM101" s="5"/>
      <c r="AN101" s="5"/>
      <c r="AO101" s="5"/>
      <c r="AP101" s="5"/>
      <c r="AQ101" s="5"/>
      <c r="AR101" s="5"/>
      <c r="AS101" s="5" t="s">
        <v>102</v>
      </c>
      <c r="AT101" s="5" t="s">
        <v>107</v>
      </c>
      <c r="AU101" s="5" t="s">
        <v>104</v>
      </c>
      <c r="AV101" s="5" t="s">
        <v>122</v>
      </c>
      <c r="AW101" s="5" t="s">
        <v>104</v>
      </c>
      <c r="AX101" s="11" t="s">
        <v>744</v>
      </c>
      <c r="AY101" s="12" t="s">
        <v>121</v>
      </c>
      <c r="AZ101" s="14"/>
      <c r="BA101" s="14"/>
    </row>
    <row r="102" spans="1:53" s="49" customFormat="1" ht="15" customHeight="1">
      <c r="A102" s="47">
        <f t="shared" si="4"/>
        <v>99</v>
      </c>
      <c r="B102" s="4" t="s">
        <v>277</v>
      </c>
      <c r="C102" s="4" t="s">
        <v>397</v>
      </c>
      <c r="D102" s="21">
        <v>42468</v>
      </c>
      <c r="E102" s="47"/>
      <c r="F102" s="15"/>
      <c r="G102" s="4" t="s">
        <v>141</v>
      </c>
      <c r="H102" s="4" t="s">
        <v>141</v>
      </c>
      <c r="I102" s="4" t="s">
        <v>141</v>
      </c>
      <c r="J102" s="4" t="s">
        <v>141</v>
      </c>
      <c r="K102" s="4" t="s">
        <v>141</v>
      </c>
      <c r="L102" s="4" t="s">
        <v>141</v>
      </c>
      <c r="M102" s="22" t="s">
        <v>15</v>
      </c>
      <c r="N102" s="23"/>
      <c r="O102" s="23" t="s">
        <v>15</v>
      </c>
      <c r="P102" s="23"/>
      <c r="Q102" s="23"/>
      <c r="R102" s="24"/>
      <c r="S102" s="6" t="s">
        <v>442</v>
      </c>
      <c r="T102" s="4" t="s">
        <v>564</v>
      </c>
      <c r="U102" s="4" t="s">
        <v>300</v>
      </c>
      <c r="V102" s="4" t="s">
        <v>420</v>
      </c>
      <c r="W102" s="4" t="s">
        <v>595</v>
      </c>
      <c r="X102" s="4" t="s">
        <v>596</v>
      </c>
      <c r="Y102" s="28" t="s">
        <v>483</v>
      </c>
      <c r="Z102" s="28"/>
      <c r="AA102" s="28"/>
      <c r="AB102" s="28"/>
      <c r="AC102" s="28"/>
      <c r="AD102" s="29">
        <v>23456</v>
      </c>
      <c r="AE102" s="29" t="s">
        <v>624</v>
      </c>
      <c r="AF102" s="28" t="s">
        <v>629</v>
      </c>
      <c r="AG102" s="35"/>
      <c r="AH102" s="5"/>
      <c r="AI102" s="5"/>
      <c r="AJ102" s="5"/>
      <c r="AK102" s="5"/>
      <c r="AL102" s="5" t="s">
        <v>15</v>
      </c>
      <c r="AM102" s="5"/>
      <c r="AN102" s="5"/>
      <c r="AO102" s="5"/>
      <c r="AP102" s="5"/>
      <c r="AQ102" s="5"/>
      <c r="AR102" s="5"/>
      <c r="AS102" s="5" t="s">
        <v>102</v>
      </c>
      <c r="AT102" s="5" t="s">
        <v>108</v>
      </c>
      <c r="AU102" s="5" t="s">
        <v>104</v>
      </c>
      <c r="AV102" s="5" t="s">
        <v>122</v>
      </c>
      <c r="AW102" s="5" t="s">
        <v>104</v>
      </c>
      <c r="AX102" s="11" t="s">
        <v>745</v>
      </c>
      <c r="AY102" s="12" t="s">
        <v>121</v>
      </c>
      <c r="AZ102" s="15"/>
      <c r="BA102" s="15"/>
    </row>
    <row r="103" spans="1:53" s="49" customFormat="1" ht="15" customHeight="1">
      <c r="A103" s="42">
        <f t="shared" si="4"/>
        <v>100</v>
      </c>
      <c r="B103" s="4" t="s">
        <v>278</v>
      </c>
      <c r="C103" s="4" t="s">
        <v>398</v>
      </c>
      <c r="D103" s="21">
        <v>42469</v>
      </c>
      <c r="E103" s="47"/>
      <c r="F103" s="15"/>
      <c r="G103" s="4" t="s">
        <v>141</v>
      </c>
      <c r="H103" s="4" t="s">
        <v>141</v>
      </c>
      <c r="I103" s="4" t="s">
        <v>141</v>
      </c>
      <c r="J103" s="4" t="s">
        <v>141</v>
      </c>
      <c r="K103" s="4" t="s">
        <v>141</v>
      </c>
      <c r="L103" s="4" t="s">
        <v>141</v>
      </c>
      <c r="M103" s="22"/>
      <c r="N103" s="25" t="s">
        <v>15</v>
      </c>
      <c r="O103" s="25" t="s">
        <v>15</v>
      </c>
      <c r="P103" s="25"/>
      <c r="Q103" s="25"/>
      <c r="R103" s="22"/>
      <c r="S103" s="6" t="s">
        <v>443</v>
      </c>
      <c r="T103" s="4" t="s">
        <v>565</v>
      </c>
      <c r="U103" s="4" t="s">
        <v>589</v>
      </c>
      <c r="V103" s="4" t="s">
        <v>590</v>
      </c>
      <c r="W103" s="4" t="s">
        <v>597</v>
      </c>
      <c r="X103" s="4" t="s">
        <v>598</v>
      </c>
      <c r="Y103" s="28" t="s">
        <v>484</v>
      </c>
      <c r="Z103" s="28"/>
      <c r="AA103" s="28"/>
      <c r="AB103" s="28"/>
      <c r="AC103" s="28"/>
      <c r="AD103" s="29">
        <v>23456</v>
      </c>
      <c r="AE103" s="29" t="s">
        <v>625</v>
      </c>
      <c r="AF103" s="28" t="s">
        <v>630</v>
      </c>
      <c r="AG103" s="35"/>
      <c r="AH103" s="5"/>
      <c r="AI103" s="5" t="s">
        <v>15</v>
      </c>
      <c r="AJ103" s="5"/>
      <c r="AK103" s="5"/>
      <c r="AL103" s="5"/>
      <c r="AM103" s="5"/>
      <c r="AN103" s="5"/>
      <c r="AO103" s="5"/>
      <c r="AP103" s="5"/>
      <c r="AQ103" s="5"/>
      <c r="AR103" s="5"/>
      <c r="AS103" s="5" t="s">
        <v>102</v>
      </c>
      <c r="AT103" s="5" t="s">
        <v>108</v>
      </c>
      <c r="AU103" s="5" t="s">
        <v>104</v>
      </c>
      <c r="AV103" s="5" t="s">
        <v>122</v>
      </c>
      <c r="AW103" s="5" t="s">
        <v>104</v>
      </c>
      <c r="AX103" s="11" t="s">
        <v>746</v>
      </c>
      <c r="AY103" s="12" t="s">
        <v>121</v>
      </c>
      <c r="AZ103" s="15"/>
      <c r="BA103" s="15"/>
    </row>
    <row r="104" spans="1:53" s="49" customFormat="1" ht="15" customHeight="1">
      <c r="A104" s="42">
        <f t="shared" si="4"/>
        <v>101</v>
      </c>
      <c r="B104" s="4" t="s">
        <v>279</v>
      </c>
      <c r="C104" s="4" t="s">
        <v>399</v>
      </c>
      <c r="D104" s="21">
        <v>42470</v>
      </c>
      <c r="E104" s="52" t="s">
        <v>173</v>
      </c>
      <c r="F104" s="46" t="s">
        <v>96</v>
      </c>
      <c r="G104" s="4" t="s">
        <v>141</v>
      </c>
      <c r="H104" s="4" t="s">
        <v>141</v>
      </c>
      <c r="I104" s="4" t="s">
        <v>141</v>
      </c>
      <c r="J104" s="4" t="s">
        <v>141</v>
      </c>
      <c r="K104" s="4" t="s">
        <v>141</v>
      </c>
      <c r="L104" s="4" t="s">
        <v>144</v>
      </c>
      <c r="M104" s="22" t="s">
        <v>15</v>
      </c>
      <c r="N104" s="23"/>
      <c r="O104" s="23"/>
      <c r="P104" s="23" t="s">
        <v>15</v>
      </c>
      <c r="Q104" s="23"/>
      <c r="R104" s="24"/>
      <c r="S104" s="6" t="s">
        <v>444</v>
      </c>
      <c r="T104" s="4" t="s">
        <v>566</v>
      </c>
      <c r="U104" s="4" t="s">
        <v>591</v>
      </c>
      <c r="V104" s="4" t="s">
        <v>592</v>
      </c>
      <c r="W104" s="28"/>
      <c r="X104" s="28"/>
      <c r="Y104" s="28" t="s">
        <v>485</v>
      </c>
      <c r="Z104" s="28"/>
      <c r="AA104" s="28"/>
      <c r="AB104" s="28"/>
      <c r="AC104" s="28"/>
      <c r="AD104" s="29">
        <v>12345</v>
      </c>
      <c r="AE104" s="29" t="s">
        <v>624</v>
      </c>
      <c r="AF104" s="28" t="s">
        <v>626</v>
      </c>
      <c r="AG104" s="35"/>
      <c r="AH104" s="5"/>
      <c r="AI104" s="5"/>
      <c r="AJ104" s="5"/>
      <c r="AK104" s="5" t="s">
        <v>15</v>
      </c>
      <c r="AL104" s="5"/>
      <c r="AM104" s="5"/>
      <c r="AN104" s="5"/>
      <c r="AO104" s="5"/>
      <c r="AP104" s="5"/>
      <c r="AQ104" s="5"/>
      <c r="AR104" s="5"/>
      <c r="AS104" s="5" t="s">
        <v>117</v>
      </c>
      <c r="AT104" s="5" t="s">
        <v>103</v>
      </c>
      <c r="AU104" s="5" t="s">
        <v>104</v>
      </c>
      <c r="AV104" s="5"/>
      <c r="AW104" s="5" t="s">
        <v>104</v>
      </c>
      <c r="AX104" s="11" t="s">
        <v>747</v>
      </c>
      <c r="AY104" s="12" t="str">
        <f>IFERROR(VLOOKUP(MATCH(" ",AG104:AQ104,-1),'[1]erlaubte Werte'!J$2:K$13,2,0),"")</f>
        <v/>
      </c>
      <c r="AZ104" s="46"/>
      <c r="BA104" s="8"/>
    </row>
    <row r="105" spans="1:53" s="49" customFormat="1" ht="15" customHeight="1">
      <c r="A105" s="42">
        <f t="shared" si="4"/>
        <v>102</v>
      </c>
      <c r="B105" s="4" t="s">
        <v>280</v>
      </c>
      <c r="C105" s="4" t="s">
        <v>400</v>
      </c>
      <c r="D105" s="21">
        <v>42471</v>
      </c>
      <c r="E105" s="52"/>
      <c r="F105" s="46"/>
      <c r="G105" s="4"/>
      <c r="H105" s="4" t="s">
        <v>141</v>
      </c>
      <c r="I105" s="4" t="s">
        <v>141</v>
      </c>
      <c r="J105" s="4" t="s">
        <v>144</v>
      </c>
      <c r="K105" s="4" t="s">
        <v>144</v>
      </c>
      <c r="L105" s="4" t="s">
        <v>144</v>
      </c>
      <c r="M105" s="22" t="s">
        <v>15</v>
      </c>
      <c r="N105" s="25"/>
      <c r="O105" s="25"/>
      <c r="P105" s="25" t="s">
        <v>15</v>
      </c>
      <c r="Q105" s="25"/>
      <c r="R105" s="22"/>
      <c r="S105" s="6" t="s">
        <v>445</v>
      </c>
      <c r="T105" s="4" t="s">
        <v>567</v>
      </c>
      <c r="U105" s="28"/>
      <c r="V105" s="28"/>
      <c r="W105" s="28"/>
      <c r="X105" s="28"/>
      <c r="Y105" s="28" t="s">
        <v>486</v>
      </c>
      <c r="Z105" s="28"/>
      <c r="AA105" s="28"/>
      <c r="AB105" s="28"/>
      <c r="AC105" s="28"/>
      <c r="AD105" s="29">
        <v>12345</v>
      </c>
      <c r="AE105" s="29" t="s">
        <v>625</v>
      </c>
      <c r="AF105" s="28" t="s">
        <v>627</v>
      </c>
      <c r="AG105" s="35"/>
      <c r="AH105" s="5" t="s">
        <v>15</v>
      </c>
      <c r="AI105" s="5"/>
      <c r="AJ105" s="5"/>
      <c r="AK105" s="5"/>
      <c r="AL105" s="5"/>
      <c r="AM105" s="5"/>
      <c r="AN105" s="5"/>
      <c r="AO105" s="5"/>
      <c r="AP105" s="5"/>
      <c r="AQ105" s="5"/>
      <c r="AR105" s="5"/>
      <c r="AS105" s="5" t="s">
        <v>106</v>
      </c>
      <c r="AT105" s="5" t="s">
        <v>103</v>
      </c>
      <c r="AU105" s="5" t="s">
        <v>104</v>
      </c>
      <c r="AV105" s="5" t="s">
        <v>122</v>
      </c>
      <c r="AW105" s="5" t="s">
        <v>104</v>
      </c>
      <c r="AX105" s="11" t="s">
        <v>748</v>
      </c>
      <c r="AY105" s="12" t="str">
        <f>IFERROR(VLOOKUP(MATCH(" ",AG105:AQ105,-1),'[1]erlaubte Werte'!J$2:K$13,2,0),"")</f>
        <v/>
      </c>
      <c r="AZ105" s="46"/>
      <c r="BA105" s="7"/>
    </row>
    <row r="106" spans="1:53" s="49" customFormat="1" ht="15" customHeight="1">
      <c r="A106" s="47">
        <f t="shared" si="4"/>
        <v>103</v>
      </c>
      <c r="B106" s="4" t="s">
        <v>281</v>
      </c>
      <c r="C106" s="4" t="s">
        <v>401</v>
      </c>
      <c r="D106" s="21">
        <v>42472</v>
      </c>
      <c r="E106" s="66"/>
      <c r="F106" s="13"/>
      <c r="G106" s="4"/>
      <c r="H106" s="4" t="s">
        <v>141</v>
      </c>
      <c r="I106" s="4" t="s">
        <v>144</v>
      </c>
      <c r="J106" s="4" t="s">
        <v>143</v>
      </c>
      <c r="K106" s="4" t="s">
        <v>143</v>
      </c>
      <c r="L106" s="4" t="s">
        <v>144</v>
      </c>
      <c r="M106" s="22" t="s">
        <v>15</v>
      </c>
      <c r="N106" s="23"/>
      <c r="O106" s="23" t="s">
        <v>15</v>
      </c>
      <c r="P106" s="23"/>
      <c r="Q106" s="23"/>
      <c r="R106" s="24"/>
      <c r="S106" s="6" t="s">
        <v>446</v>
      </c>
      <c r="T106" s="4" t="s">
        <v>568</v>
      </c>
      <c r="U106" s="28"/>
      <c r="V106" s="28"/>
      <c r="W106" s="28"/>
      <c r="X106" s="28"/>
      <c r="Y106" s="28" t="s">
        <v>487</v>
      </c>
      <c r="Z106" s="28"/>
      <c r="AA106" s="28"/>
      <c r="AB106" s="28"/>
      <c r="AC106" s="28"/>
      <c r="AD106" s="29">
        <v>23456</v>
      </c>
      <c r="AE106" s="29" t="s">
        <v>624</v>
      </c>
      <c r="AF106" s="28" t="s">
        <v>628</v>
      </c>
      <c r="AG106" s="35"/>
      <c r="AH106" s="5" t="s">
        <v>15</v>
      </c>
      <c r="AI106" s="5"/>
      <c r="AJ106" s="5"/>
      <c r="AK106" s="5"/>
      <c r="AL106" s="5"/>
      <c r="AM106" s="5"/>
      <c r="AN106" s="5"/>
      <c r="AO106" s="5"/>
      <c r="AP106" s="5"/>
      <c r="AQ106" s="5"/>
      <c r="AR106" s="5"/>
      <c r="AS106" s="5" t="s">
        <v>105</v>
      </c>
      <c r="AT106" s="5" t="s">
        <v>103</v>
      </c>
      <c r="AU106" s="5" t="s">
        <v>104</v>
      </c>
      <c r="AV106" s="5" t="s">
        <v>122</v>
      </c>
      <c r="AW106" s="5" t="s">
        <v>104</v>
      </c>
      <c r="AX106" s="11" t="s">
        <v>749</v>
      </c>
      <c r="AY106" s="12" t="s">
        <v>121</v>
      </c>
      <c r="AZ106" s="13"/>
      <c r="BA106" s="13"/>
    </row>
    <row r="107" spans="1:53" s="49" customFormat="1" ht="15" customHeight="1">
      <c r="A107" s="42">
        <f t="shared" si="4"/>
        <v>104</v>
      </c>
      <c r="B107" s="4" t="s">
        <v>282</v>
      </c>
      <c r="C107" s="4" t="s">
        <v>402</v>
      </c>
      <c r="D107" s="21">
        <v>42473</v>
      </c>
      <c r="E107" s="47"/>
      <c r="F107" s="15"/>
      <c r="G107" s="4"/>
      <c r="H107" s="4" t="s">
        <v>144</v>
      </c>
      <c r="I107" s="4" t="s">
        <v>144</v>
      </c>
      <c r="J107" s="4" t="s">
        <v>143</v>
      </c>
      <c r="K107" s="4" t="s">
        <v>143</v>
      </c>
      <c r="L107" s="4" t="s">
        <v>144</v>
      </c>
      <c r="M107" s="22"/>
      <c r="N107" s="25" t="s">
        <v>15</v>
      </c>
      <c r="O107" s="25" t="s">
        <v>15</v>
      </c>
      <c r="P107" s="25"/>
      <c r="Q107" s="25"/>
      <c r="R107" s="22"/>
      <c r="S107" s="6" t="s">
        <v>447</v>
      </c>
      <c r="T107" s="4" t="s">
        <v>569</v>
      </c>
      <c r="U107" s="28"/>
      <c r="V107" s="28"/>
      <c r="W107" s="28"/>
      <c r="X107" s="28"/>
      <c r="Y107" s="28" t="s">
        <v>488</v>
      </c>
      <c r="Z107" s="28"/>
      <c r="AA107" s="28"/>
      <c r="AB107" s="28"/>
      <c r="AC107" s="28"/>
      <c r="AD107" s="29">
        <v>23456</v>
      </c>
      <c r="AE107" s="29" t="s">
        <v>625</v>
      </c>
      <c r="AF107" s="28" t="s">
        <v>629</v>
      </c>
      <c r="AG107" s="35"/>
      <c r="AH107" s="5" t="s">
        <v>15</v>
      </c>
      <c r="AI107" s="5"/>
      <c r="AJ107" s="5"/>
      <c r="AK107" s="5"/>
      <c r="AL107" s="5"/>
      <c r="AM107" s="5"/>
      <c r="AN107" s="5"/>
      <c r="AO107" s="5"/>
      <c r="AP107" s="5"/>
      <c r="AQ107" s="5"/>
      <c r="AR107" s="5"/>
      <c r="AS107" s="5" t="s">
        <v>111</v>
      </c>
      <c r="AT107" s="5" t="s">
        <v>103</v>
      </c>
      <c r="AU107" s="5" t="s">
        <v>104</v>
      </c>
      <c r="AV107" s="5" t="s">
        <v>122</v>
      </c>
      <c r="AW107" s="5" t="s">
        <v>104</v>
      </c>
      <c r="AX107" s="11" t="s">
        <v>750</v>
      </c>
      <c r="AY107" s="12" t="s">
        <v>121</v>
      </c>
      <c r="AZ107" s="15"/>
      <c r="BA107" s="15"/>
    </row>
    <row r="108" spans="1:53" s="49" customFormat="1" ht="15" customHeight="1">
      <c r="A108" s="47">
        <f t="shared" si="4"/>
        <v>105</v>
      </c>
      <c r="B108" s="4" t="s">
        <v>283</v>
      </c>
      <c r="C108" s="4" t="s">
        <v>403</v>
      </c>
      <c r="D108" s="21">
        <v>42474</v>
      </c>
      <c r="E108" s="66"/>
      <c r="F108" s="13"/>
      <c r="G108" s="4"/>
      <c r="H108" s="4" t="s">
        <v>142</v>
      </c>
      <c r="I108" s="4" t="s">
        <v>144</v>
      </c>
      <c r="J108" s="4" t="s">
        <v>141</v>
      </c>
      <c r="K108" s="4" t="s">
        <v>141</v>
      </c>
      <c r="L108" s="4" t="s">
        <v>141</v>
      </c>
      <c r="M108" s="22"/>
      <c r="N108" s="23" t="s">
        <v>15</v>
      </c>
      <c r="O108" s="23" t="s">
        <v>15</v>
      </c>
      <c r="P108" s="23"/>
      <c r="Q108" s="23"/>
      <c r="R108" s="24"/>
      <c r="S108" s="6" t="s">
        <v>448</v>
      </c>
      <c r="T108" s="4" t="s">
        <v>570</v>
      </c>
      <c r="U108" s="28"/>
      <c r="V108" s="28"/>
      <c r="W108" s="28"/>
      <c r="X108" s="28"/>
      <c r="Y108" s="28" t="s">
        <v>489</v>
      </c>
      <c r="Z108" s="28"/>
      <c r="AA108" s="28"/>
      <c r="AB108" s="28"/>
      <c r="AC108" s="28"/>
      <c r="AD108" s="29">
        <v>12345</v>
      </c>
      <c r="AE108" s="29" t="s">
        <v>624</v>
      </c>
      <c r="AF108" s="28" t="s">
        <v>630</v>
      </c>
      <c r="AG108" s="35" t="s">
        <v>15</v>
      </c>
      <c r="AH108" s="5"/>
      <c r="AI108" s="5"/>
      <c r="AJ108" s="5"/>
      <c r="AK108" s="5"/>
      <c r="AL108" s="5"/>
      <c r="AM108" s="5"/>
      <c r="AN108" s="5"/>
      <c r="AO108" s="5"/>
      <c r="AP108" s="5"/>
      <c r="AQ108" s="5"/>
      <c r="AR108" s="5"/>
      <c r="AS108" s="5" t="s">
        <v>106</v>
      </c>
      <c r="AT108" s="5" t="s">
        <v>108</v>
      </c>
      <c r="AU108" s="5" t="s">
        <v>104</v>
      </c>
      <c r="AV108" s="5" t="s">
        <v>122</v>
      </c>
      <c r="AW108" s="5" t="s">
        <v>104</v>
      </c>
      <c r="AX108" s="11" t="s">
        <v>751</v>
      </c>
      <c r="AY108" s="12" t="s">
        <v>121</v>
      </c>
      <c r="AZ108" s="13"/>
      <c r="BA108" s="13"/>
    </row>
    <row r="109" spans="1:53" s="49" customFormat="1" ht="15" customHeight="1">
      <c r="A109" s="42">
        <f t="shared" si="4"/>
        <v>106</v>
      </c>
      <c r="B109" s="4" t="s">
        <v>284</v>
      </c>
      <c r="C109" s="4" t="s">
        <v>404</v>
      </c>
      <c r="D109" s="21">
        <v>42475</v>
      </c>
      <c r="E109" s="68"/>
      <c r="F109" s="45"/>
      <c r="G109" s="4"/>
      <c r="H109" s="4" t="s">
        <v>144</v>
      </c>
      <c r="I109" s="4" t="s">
        <v>143</v>
      </c>
      <c r="J109" s="4" t="s">
        <v>142</v>
      </c>
      <c r="K109" s="4" t="s">
        <v>142</v>
      </c>
      <c r="L109" s="4" t="s">
        <v>142</v>
      </c>
      <c r="M109" s="22"/>
      <c r="N109" s="23" t="s">
        <v>15</v>
      </c>
      <c r="O109" s="23"/>
      <c r="P109" s="23" t="s">
        <v>15</v>
      </c>
      <c r="Q109" s="23"/>
      <c r="R109" s="24"/>
      <c r="S109" s="6" t="s">
        <v>449</v>
      </c>
      <c r="T109" s="4" t="s">
        <v>571</v>
      </c>
      <c r="U109" s="28"/>
      <c r="V109" s="28"/>
      <c r="W109" s="28"/>
      <c r="X109" s="28"/>
      <c r="Y109" s="28" t="s">
        <v>490</v>
      </c>
      <c r="Z109" s="28"/>
      <c r="AA109" s="28"/>
      <c r="AB109" s="28"/>
      <c r="AC109" s="28"/>
      <c r="AD109" s="29">
        <v>12345</v>
      </c>
      <c r="AE109" s="29" t="s">
        <v>625</v>
      </c>
      <c r="AF109" s="28" t="s">
        <v>626</v>
      </c>
      <c r="AG109" s="35"/>
      <c r="AH109" s="5"/>
      <c r="AI109" s="5"/>
      <c r="AJ109" s="5"/>
      <c r="AK109" s="5" t="s">
        <v>15</v>
      </c>
      <c r="AL109" s="5"/>
      <c r="AM109" s="5"/>
      <c r="AN109" s="5"/>
      <c r="AO109" s="5"/>
      <c r="AP109" s="5"/>
      <c r="AQ109" s="5"/>
      <c r="AR109" s="5"/>
      <c r="AS109" s="5" t="s">
        <v>102</v>
      </c>
      <c r="AT109" s="5"/>
      <c r="AU109" s="5" t="s">
        <v>104</v>
      </c>
      <c r="AV109" s="5" t="s">
        <v>122</v>
      </c>
      <c r="AW109" s="5"/>
      <c r="AX109" s="11" t="s">
        <v>752</v>
      </c>
      <c r="AY109" s="12" t="str">
        <f>IFERROR(VLOOKUP(MATCH(" ",AG109:AQ109,-1),'[1]erlaubte Werte'!J$2:K$13,2,0),"")</f>
        <v/>
      </c>
      <c r="AZ109" s="45"/>
      <c r="BA109" s="7"/>
    </row>
    <row r="110" spans="1:53" s="49" customFormat="1" ht="15" customHeight="1">
      <c r="A110" s="42">
        <f t="shared" si="4"/>
        <v>107</v>
      </c>
      <c r="B110" s="4" t="s">
        <v>285</v>
      </c>
      <c r="C110" s="4" t="s">
        <v>405</v>
      </c>
      <c r="D110" s="21">
        <v>42476</v>
      </c>
      <c r="E110" s="42"/>
      <c r="F110" s="12"/>
      <c r="G110" s="4"/>
      <c r="H110" s="4" t="s">
        <v>142</v>
      </c>
      <c r="I110" s="4" t="s">
        <v>141</v>
      </c>
      <c r="J110" s="4" t="s">
        <v>144</v>
      </c>
      <c r="K110" s="4" t="s">
        <v>144</v>
      </c>
      <c r="L110" s="4" t="s">
        <v>144</v>
      </c>
      <c r="M110" s="22"/>
      <c r="N110" s="25" t="s">
        <v>15</v>
      </c>
      <c r="O110" s="25" t="s">
        <v>15</v>
      </c>
      <c r="P110" s="25"/>
      <c r="Q110" s="25"/>
      <c r="R110" s="22"/>
      <c r="S110" s="6" t="s">
        <v>450</v>
      </c>
      <c r="T110" s="4" t="s">
        <v>572</v>
      </c>
      <c r="U110" s="28"/>
      <c r="V110" s="28"/>
      <c r="W110" s="28"/>
      <c r="X110" s="28"/>
      <c r="Y110" s="28" t="s">
        <v>491</v>
      </c>
      <c r="Z110" s="28"/>
      <c r="AA110" s="28"/>
      <c r="AB110" s="28"/>
      <c r="AC110" s="28"/>
      <c r="AD110" s="29">
        <v>23456</v>
      </c>
      <c r="AE110" s="29" t="s">
        <v>624</v>
      </c>
      <c r="AF110" s="28" t="s">
        <v>627</v>
      </c>
      <c r="AG110" s="35"/>
      <c r="AH110" s="5" t="s">
        <v>15</v>
      </c>
      <c r="AI110" s="5"/>
      <c r="AJ110" s="5"/>
      <c r="AK110" s="5"/>
      <c r="AL110" s="5"/>
      <c r="AM110" s="5"/>
      <c r="AN110" s="5"/>
      <c r="AO110" s="5"/>
      <c r="AP110" s="5"/>
      <c r="AQ110" s="5"/>
      <c r="AR110" s="5"/>
      <c r="AS110" s="5" t="s">
        <v>105</v>
      </c>
      <c r="AT110" s="5" t="s">
        <v>103</v>
      </c>
      <c r="AU110" s="5" t="s">
        <v>104</v>
      </c>
      <c r="AV110" s="5" t="s">
        <v>122</v>
      </c>
      <c r="AW110" s="5" t="s">
        <v>104</v>
      </c>
      <c r="AX110" s="11" t="s">
        <v>753</v>
      </c>
      <c r="AY110" s="12" t="s">
        <v>121</v>
      </c>
      <c r="AZ110" s="12"/>
      <c r="BA110" s="12"/>
    </row>
    <row r="111" spans="1:53" s="49" customFormat="1" ht="15" customHeight="1">
      <c r="A111" s="42">
        <v>3</v>
      </c>
      <c r="B111" s="4" t="s">
        <v>286</v>
      </c>
      <c r="C111" s="4" t="s">
        <v>406</v>
      </c>
      <c r="D111" s="21">
        <v>42477</v>
      </c>
      <c r="E111" s="52"/>
      <c r="F111" s="46"/>
      <c r="G111" s="4"/>
      <c r="H111" s="4" t="s">
        <v>143</v>
      </c>
      <c r="I111" s="4" t="s">
        <v>142</v>
      </c>
      <c r="J111" s="4" t="s">
        <v>142</v>
      </c>
      <c r="K111" s="4" t="s">
        <v>142</v>
      </c>
      <c r="L111" s="4" t="s">
        <v>142</v>
      </c>
      <c r="M111" s="22" t="s">
        <v>15</v>
      </c>
      <c r="N111" s="25"/>
      <c r="O111" s="25" t="s">
        <v>15</v>
      </c>
      <c r="P111" s="25"/>
      <c r="Q111" s="25"/>
      <c r="R111" s="22"/>
      <c r="S111" s="6" t="s">
        <v>451</v>
      </c>
      <c r="T111" s="4" t="s">
        <v>573</v>
      </c>
      <c r="U111" s="28"/>
      <c r="V111" s="28"/>
      <c r="W111" s="28"/>
      <c r="X111" s="28"/>
      <c r="Y111" s="28" t="s">
        <v>492</v>
      </c>
      <c r="Z111" s="28"/>
      <c r="AA111" s="28"/>
      <c r="AB111" s="28"/>
      <c r="AC111" s="28"/>
      <c r="AD111" s="29">
        <v>23456</v>
      </c>
      <c r="AE111" s="29" t="s">
        <v>625</v>
      </c>
      <c r="AF111" s="28" t="s">
        <v>628</v>
      </c>
      <c r="AG111" s="35"/>
      <c r="AH111" s="5" t="s">
        <v>15</v>
      </c>
      <c r="AI111" s="5"/>
      <c r="AJ111" s="5"/>
      <c r="AK111" s="5"/>
      <c r="AL111" s="5"/>
      <c r="AM111" s="5"/>
      <c r="AN111" s="5"/>
      <c r="AO111" s="5"/>
      <c r="AP111" s="5"/>
      <c r="AQ111" s="5"/>
      <c r="AR111" s="5"/>
      <c r="AS111" s="5" t="s">
        <v>102</v>
      </c>
      <c r="AT111" s="5" t="s">
        <v>103</v>
      </c>
      <c r="AU111" s="5" t="s">
        <v>104</v>
      </c>
      <c r="AV111" s="5"/>
      <c r="AW111" s="5" t="s">
        <v>115</v>
      </c>
      <c r="AX111" s="11" t="s">
        <v>754</v>
      </c>
      <c r="AY111" s="12"/>
      <c r="AZ111" s="46"/>
      <c r="BA111" s="7"/>
    </row>
    <row r="112" spans="1:53" s="49" customFormat="1" ht="15" customHeight="1">
      <c r="A112" s="42">
        <f t="shared" ref="A112:A125" si="5">ROW(B112)-3</f>
        <v>109</v>
      </c>
      <c r="B112" s="4" t="s">
        <v>287</v>
      </c>
      <c r="C112" s="4" t="s">
        <v>407</v>
      </c>
      <c r="D112" s="21">
        <v>42478</v>
      </c>
      <c r="E112" s="47"/>
      <c r="F112" s="15"/>
      <c r="G112" s="4"/>
      <c r="H112" s="4" t="s">
        <v>143</v>
      </c>
      <c r="I112" s="4" t="s">
        <v>144</v>
      </c>
      <c r="J112" s="4" t="s">
        <v>144</v>
      </c>
      <c r="K112" s="4" t="s">
        <v>144</v>
      </c>
      <c r="L112" s="4" t="s">
        <v>144</v>
      </c>
      <c r="M112" s="22"/>
      <c r="N112" s="25" t="s">
        <v>15</v>
      </c>
      <c r="O112" s="25" t="s">
        <v>15</v>
      </c>
      <c r="P112" s="25"/>
      <c r="Q112" s="25"/>
      <c r="R112" s="22"/>
      <c r="S112" s="6" t="s">
        <v>452</v>
      </c>
      <c r="T112" s="4" t="s">
        <v>574</v>
      </c>
      <c r="U112" s="28"/>
      <c r="V112" s="28"/>
      <c r="W112" s="28"/>
      <c r="X112" s="28"/>
      <c r="Y112" s="28" t="s">
        <v>493</v>
      </c>
      <c r="Z112" s="28"/>
      <c r="AA112" s="28"/>
      <c r="AB112" s="28"/>
      <c r="AC112" s="28"/>
      <c r="AD112" s="29">
        <v>12345</v>
      </c>
      <c r="AE112" s="29" t="s">
        <v>624</v>
      </c>
      <c r="AF112" s="28" t="s">
        <v>629</v>
      </c>
      <c r="AG112" s="35"/>
      <c r="AH112" s="5"/>
      <c r="AI112" s="5" t="s">
        <v>15</v>
      </c>
      <c r="AJ112" s="5"/>
      <c r="AK112" s="5"/>
      <c r="AL112" s="5"/>
      <c r="AM112" s="5"/>
      <c r="AN112" s="5"/>
      <c r="AO112" s="5"/>
      <c r="AP112" s="5"/>
      <c r="AQ112" s="5"/>
      <c r="AR112" s="5"/>
      <c r="AS112" s="5" t="s">
        <v>106</v>
      </c>
      <c r="AT112" s="5" t="s">
        <v>103</v>
      </c>
      <c r="AU112" s="5" t="s">
        <v>104</v>
      </c>
      <c r="AV112" s="5" t="s">
        <v>122</v>
      </c>
      <c r="AW112" s="5" t="s">
        <v>115</v>
      </c>
      <c r="AX112" s="11" t="s">
        <v>755</v>
      </c>
      <c r="AY112" s="12" t="s">
        <v>121</v>
      </c>
      <c r="AZ112" s="15"/>
      <c r="BA112" s="15"/>
    </row>
    <row r="113" spans="1:53" s="49" customFormat="1" ht="15" customHeight="1">
      <c r="A113" s="42">
        <f t="shared" si="5"/>
        <v>110</v>
      </c>
      <c r="B113" s="4" t="s">
        <v>288</v>
      </c>
      <c r="C113" s="4" t="s">
        <v>408</v>
      </c>
      <c r="D113" s="21">
        <v>42479</v>
      </c>
      <c r="E113" s="42"/>
      <c r="F113" s="12"/>
      <c r="G113" s="4"/>
      <c r="H113" s="4" t="s">
        <v>143</v>
      </c>
      <c r="I113" s="4" t="s">
        <v>142</v>
      </c>
      <c r="J113" s="4" t="s">
        <v>143</v>
      </c>
      <c r="K113" s="4" t="s">
        <v>143</v>
      </c>
      <c r="L113" s="4" t="s">
        <v>143</v>
      </c>
      <c r="M113" s="22"/>
      <c r="N113" s="25" t="s">
        <v>15</v>
      </c>
      <c r="O113" s="25" t="s">
        <v>15</v>
      </c>
      <c r="P113" s="25"/>
      <c r="Q113" s="25"/>
      <c r="R113" s="22"/>
      <c r="S113" s="6" t="s">
        <v>453</v>
      </c>
      <c r="T113" s="4" t="s">
        <v>575</v>
      </c>
      <c r="U113" s="28"/>
      <c r="V113" s="28"/>
      <c r="W113" s="28"/>
      <c r="X113" s="28"/>
      <c r="Y113" s="28" t="s">
        <v>494</v>
      </c>
      <c r="Z113" s="28"/>
      <c r="AA113" s="28"/>
      <c r="AB113" s="28"/>
      <c r="AC113" s="28"/>
      <c r="AD113" s="29">
        <v>12345</v>
      </c>
      <c r="AE113" s="29" t="s">
        <v>625</v>
      </c>
      <c r="AF113" s="28" t="s">
        <v>630</v>
      </c>
      <c r="AG113" s="35"/>
      <c r="AH113" s="5"/>
      <c r="AI113" s="5"/>
      <c r="AJ113" s="5"/>
      <c r="AK113" s="5"/>
      <c r="AL113" s="5"/>
      <c r="AM113" s="5"/>
      <c r="AN113" s="5"/>
      <c r="AO113" s="5"/>
      <c r="AP113" s="5"/>
      <c r="AQ113" s="5"/>
      <c r="AR113" s="5"/>
      <c r="AS113" s="5" t="s">
        <v>102</v>
      </c>
      <c r="AT113" s="5" t="s">
        <v>103</v>
      </c>
      <c r="AU113" s="5" t="s">
        <v>104</v>
      </c>
      <c r="AV113" s="5" t="s">
        <v>122</v>
      </c>
      <c r="AW113" s="5" t="s">
        <v>104</v>
      </c>
      <c r="AX113" s="11" t="s">
        <v>756</v>
      </c>
      <c r="AY113" s="12" t="s">
        <v>121</v>
      </c>
      <c r="AZ113" s="12"/>
      <c r="BA113" s="12"/>
    </row>
    <row r="114" spans="1:53" s="48" customFormat="1" ht="15" customHeight="1">
      <c r="A114" s="42">
        <f t="shared" si="5"/>
        <v>111</v>
      </c>
      <c r="B114" s="4" t="s">
        <v>289</v>
      </c>
      <c r="C114" s="4" t="s">
        <v>409</v>
      </c>
      <c r="D114" s="21">
        <v>42480</v>
      </c>
      <c r="E114" s="67"/>
      <c r="F114" s="14"/>
      <c r="G114" s="4"/>
      <c r="H114" s="4" t="s">
        <v>144</v>
      </c>
      <c r="I114" s="4" t="s">
        <v>141</v>
      </c>
      <c r="J114" s="4" t="s">
        <v>142</v>
      </c>
      <c r="K114" s="4" t="s">
        <v>142</v>
      </c>
      <c r="L114" s="4" t="s">
        <v>142</v>
      </c>
      <c r="M114" s="22" t="s">
        <v>15</v>
      </c>
      <c r="N114" s="25"/>
      <c r="O114" s="25" t="s">
        <v>15</v>
      </c>
      <c r="P114" s="25"/>
      <c r="Q114" s="25"/>
      <c r="R114" s="22"/>
      <c r="S114" s="6" t="s">
        <v>454</v>
      </c>
      <c r="T114" s="4" t="s">
        <v>576</v>
      </c>
      <c r="U114" s="28"/>
      <c r="V114" s="28"/>
      <c r="W114" s="28"/>
      <c r="X114" s="28"/>
      <c r="Y114" s="28" t="s">
        <v>495</v>
      </c>
      <c r="Z114" s="28"/>
      <c r="AA114" s="28"/>
      <c r="AB114" s="28"/>
      <c r="AC114" s="28"/>
      <c r="AD114" s="29">
        <v>23456</v>
      </c>
      <c r="AE114" s="29" t="s">
        <v>624</v>
      </c>
      <c r="AF114" s="28" t="s">
        <v>626</v>
      </c>
      <c r="AG114" s="35"/>
      <c r="AH114" s="5"/>
      <c r="AI114" s="5"/>
      <c r="AJ114" s="5"/>
      <c r="AK114" s="5"/>
      <c r="AL114" s="5"/>
      <c r="AM114" s="5"/>
      <c r="AN114" s="5"/>
      <c r="AO114" s="5"/>
      <c r="AP114" s="5"/>
      <c r="AQ114" s="5"/>
      <c r="AR114" s="5"/>
      <c r="AS114" s="5" t="s">
        <v>102</v>
      </c>
      <c r="AT114" s="5" t="s">
        <v>108</v>
      </c>
      <c r="AU114" s="5" t="s">
        <v>104</v>
      </c>
      <c r="AV114" s="5" t="s">
        <v>126</v>
      </c>
      <c r="AW114" s="5" t="s">
        <v>104</v>
      </c>
      <c r="AX114" s="11" t="s">
        <v>757</v>
      </c>
      <c r="AY114" s="12" t="s">
        <v>121</v>
      </c>
      <c r="AZ114" s="14"/>
      <c r="BA114" s="12"/>
    </row>
    <row r="115" spans="1:53" s="49" customFormat="1" ht="15" customHeight="1">
      <c r="A115" s="42">
        <f t="shared" si="5"/>
        <v>112</v>
      </c>
      <c r="B115" s="4" t="s">
        <v>290</v>
      </c>
      <c r="C115" s="4" t="s">
        <v>410</v>
      </c>
      <c r="D115" s="21">
        <v>42481</v>
      </c>
      <c r="E115" s="52"/>
      <c r="F115" s="46"/>
      <c r="G115" s="4"/>
      <c r="H115" s="4" t="s">
        <v>143</v>
      </c>
      <c r="I115" s="4" t="s">
        <v>142</v>
      </c>
      <c r="J115" s="4" t="s">
        <v>142</v>
      </c>
      <c r="K115" s="4" t="s">
        <v>143</v>
      </c>
      <c r="L115" s="4" t="s">
        <v>143</v>
      </c>
      <c r="M115" s="22"/>
      <c r="N115" s="25" t="s">
        <v>15</v>
      </c>
      <c r="O115" s="25"/>
      <c r="P115" s="25" t="s">
        <v>15</v>
      </c>
      <c r="Q115" s="25"/>
      <c r="R115" s="22"/>
      <c r="S115" s="6" t="s">
        <v>455</v>
      </c>
      <c r="T115" s="4" t="s">
        <v>577</v>
      </c>
      <c r="U115" s="28"/>
      <c r="V115" s="28"/>
      <c r="W115" s="28"/>
      <c r="X115" s="28"/>
      <c r="Y115" s="28" t="s">
        <v>496</v>
      </c>
      <c r="Z115" s="28"/>
      <c r="AA115" s="28"/>
      <c r="AB115" s="28"/>
      <c r="AC115" s="28"/>
      <c r="AD115" s="29">
        <v>23456</v>
      </c>
      <c r="AE115" s="29" t="s">
        <v>625</v>
      </c>
      <c r="AF115" s="28" t="s">
        <v>627</v>
      </c>
      <c r="AG115" s="35"/>
      <c r="AH115" s="5"/>
      <c r="AI115" s="5"/>
      <c r="AJ115" s="5"/>
      <c r="AK115" s="5"/>
      <c r="AL115" s="5"/>
      <c r="AM115" s="5" t="s">
        <v>15</v>
      </c>
      <c r="AN115" s="5"/>
      <c r="AO115" s="5"/>
      <c r="AP115" s="5"/>
      <c r="AQ115" s="5"/>
      <c r="AR115" s="5"/>
      <c r="AS115" s="5">
        <v>4</v>
      </c>
      <c r="AT115" s="5" t="s">
        <v>108</v>
      </c>
      <c r="AU115" s="5" t="s">
        <v>104</v>
      </c>
      <c r="AV115" s="5" t="s">
        <v>122</v>
      </c>
      <c r="AW115" s="5" t="s">
        <v>104</v>
      </c>
      <c r="AX115" s="11" t="s">
        <v>758</v>
      </c>
      <c r="AY115" s="12" t="str">
        <f>IFERROR(VLOOKUP(MATCH(" ",AG115:AQ115,-1),'[1]erlaubte Werte'!J$2:K$13,2,0),"")</f>
        <v/>
      </c>
      <c r="AZ115" s="46"/>
      <c r="BA115" s="7"/>
    </row>
    <row r="116" spans="1:53" s="49" customFormat="1" ht="15" customHeight="1">
      <c r="A116" s="42">
        <f t="shared" si="5"/>
        <v>113</v>
      </c>
      <c r="B116" s="4" t="s">
        <v>291</v>
      </c>
      <c r="C116" s="4" t="s">
        <v>411</v>
      </c>
      <c r="D116" s="21">
        <v>42482</v>
      </c>
      <c r="E116" s="52"/>
      <c r="F116" s="46"/>
      <c r="G116" s="4"/>
      <c r="H116" s="4" t="s">
        <v>142</v>
      </c>
      <c r="I116" s="4" t="s">
        <v>144</v>
      </c>
      <c r="J116" s="4" t="s">
        <v>143</v>
      </c>
      <c r="K116" s="4" t="s">
        <v>143</v>
      </c>
      <c r="L116" s="4" t="s">
        <v>143</v>
      </c>
      <c r="M116" s="22" t="s">
        <v>15</v>
      </c>
      <c r="N116" s="25"/>
      <c r="O116" s="25"/>
      <c r="P116" s="25" t="s">
        <v>15</v>
      </c>
      <c r="Q116" s="25"/>
      <c r="R116" s="22"/>
      <c r="S116" s="6" t="s">
        <v>456</v>
      </c>
      <c r="T116" s="4" t="s">
        <v>578</v>
      </c>
      <c r="U116" s="28"/>
      <c r="V116" s="28"/>
      <c r="W116" s="28"/>
      <c r="X116" s="28"/>
      <c r="Y116" s="28" t="s">
        <v>497</v>
      </c>
      <c r="Z116" s="28"/>
      <c r="AA116" s="28"/>
      <c r="AB116" s="28"/>
      <c r="AC116" s="28"/>
      <c r="AD116" s="29">
        <v>12345</v>
      </c>
      <c r="AE116" s="29" t="s">
        <v>624</v>
      </c>
      <c r="AF116" s="28" t="s">
        <v>628</v>
      </c>
      <c r="AG116" s="35"/>
      <c r="AH116" s="5" t="s">
        <v>15</v>
      </c>
      <c r="AI116" s="5"/>
      <c r="AJ116" s="5"/>
      <c r="AK116" s="5"/>
      <c r="AL116" s="5"/>
      <c r="AM116" s="5"/>
      <c r="AN116" s="5"/>
      <c r="AO116" s="5"/>
      <c r="AP116" s="5"/>
      <c r="AQ116" s="5"/>
      <c r="AR116" s="5"/>
      <c r="AS116" s="5">
        <v>4</v>
      </c>
      <c r="AT116" s="5" t="s">
        <v>103</v>
      </c>
      <c r="AU116" s="5" t="s">
        <v>104</v>
      </c>
      <c r="AV116" s="5" t="s">
        <v>122</v>
      </c>
      <c r="AW116" s="5" t="s">
        <v>104</v>
      </c>
      <c r="AX116" s="11" t="s">
        <v>759</v>
      </c>
      <c r="AY116" s="12" t="str">
        <f>IFERROR(VLOOKUP(MATCH(" ",AG116:AQ116,-1),'[1]erlaubte Werte'!J$2:K$13,2,0),"")</f>
        <v/>
      </c>
      <c r="AZ116" s="46"/>
      <c r="BA116" s="7"/>
    </row>
    <row r="117" spans="1:53" s="49" customFormat="1" ht="15" customHeight="1">
      <c r="A117" s="42">
        <f t="shared" si="5"/>
        <v>114</v>
      </c>
      <c r="B117" s="4" t="s">
        <v>292</v>
      </c>
      <c r="C117" s="4" t="s">
        <v>412</v>
      </c>
      <c r="D117" s="21">
        <v>42483</v>
      </c>
      <c r="E117" s="42"/>
      <c r="F117" s="12"/>
      <c r="G117" s="4"/>
      <c r="H117" s="4" t="s">
        <v>141</v>
      </c>
      <c r="I117" s="4" t="s">
        <v>143</v>
      </c>
      <c r="J117" s="4" t="s">
        <v>141</v>
      </c>
      <c r="K117" s="4" t="s">
        <v>142</v>
      </c>
      <c r="L117" s="4" t="s">
        <v>141</v>
      </c>
      <c r="M117" s="22"/>
      <c r="N117" s="25" t="s">
        <v>15</v>
      </c>
      <c r="O117" s="25" t="s">
        <v>15</v>
      </c>
      <c r="P117" s="25"/>
      <c r="Q117" s="25"/>
      <c r="R117" s="22"/>
      <c r="S117" s="6" t="s">
        <v>457</v>
      </c>
      <c r="T117" s="4" t="s">
        <v>579</v>
      </c>
      <c r="U117" s="28"/>
      <c r="V117" s="28"/>
      <c r="W117" s="28"/>
      <c r="X117" s="28"/>
      <c r="Y117" s="28" t="s">
        <v>498</v>
      </c>
      <c r="Z117" s="28"/>
      <c r="AA117" s="28"/>
      <c r="AB117" s="28"/>
      <c r="AC117" s="28"/>
      <c r="AD117" s="29">
        <v>12345</v>
      </c>
      <c r="AE117" s="29" t="s">
        <v>625</v>
      </c>
      <c r="AF117" s="28" t="s">
        <v>629</v>
      </c>
      <c r="AG117" s="35"/>
      <c r="AH117" s="5"/>
      <c r="AI117" s="5"/>
      <c r="AJ117" s="5"/>
      <c r="AK117" s="5"/>
      <c r="AL117" s="5"/>
      <c r="AM117" s="5"/>
      <c r="AN117" s="5"/>
      <c r="AO117" s="5"/>
      <c r="AP117" s="5"/>
      <c r="AQ117" s="5"/>
      <c r="AR117" s="5"/>
      <c r="AS117" s="5" t="s">
        <v>102</v>
      </c>
      <c r="AT117" s="5" t="s">
        <v>108</v>
      </c>
      <c r="AU117" s="5" t="s">
        <v>104</v>
      </c>
      <c r="AV117" s="5" t="s">
        <v>122</v>
      </c>
      <c r="AW117" s="5" t="s">
        <v>104</v>
      </c>
      <c r="AX117" s="11" t="s">
        <v>760</v>
      </c>
      <c r="AY117" s="12" t="s">
        <v>121</v>
      </c>
      <c r="AZ117" s="12"/>
      <c r="BA117" s="12"/>
    </row>
    <row r="118" spans="1:53" s="49" customFormat="1" ht="15" customHeight="1">
      <c r="A118" s="42">
        <f t="shared" si="5"/>
        <v>115</v>
      </c>
      <c r="B118" s="4" t="s">
        <v>293</v>
      </c>
      <c r="C118" s="4" t="s">
        <v>413</v>
      </c>
      <c r="D118" s="21">
        <v>42484</v>
      </c>
      <c r="E118" s="67"/>
      <c r="F118" s="14"/>
      <c r="G118" s="4"/>
      <c r="H118" s="4" t="s">
        <v>144</v>
      </c>
      <c r="I118" s="4" t="s">
        <v>142</v>
      </c>
      <c r="J118" s="4" t="s">
        <v>143</v>
      </c>
      <c r="K118" s="4" t="s">
        <v>141</v>
      </c>
      <c r="L118" s="4" t="s">
        <v>143</v>
      </c>
      <c r="M118" s="22"/>
      <c r="N118" s="25" t="s">
        <v>15</v>
      </c>
      <c r="O118" s="25" t="s">
        <v>15</v>
      </c>
      <c r="P118" s="25"/>
      <c r="Q118" s="25"/>
      <c r="R118" s="22"/>
      <c r="S118" s="6" t="s">
        <v>458</v>
      </c>
      <c r="T118" s="4" t="s">
        <v>580</v>
      </c>
      <c r="U118" s="28"/>
      <c r="V118" s="28"/>
      <c r="W118" s="28"/>
      <c r="X118" s="28"/>
      <c r="Y118" s="28" t="s">
        <v>499</v>
      </c>
      <c r="Z118" s="28"/>
      <c r="AA118" s="28"/>
      <c r="AB118" s="28"/>
      <c r="AC118" s="28"/>
      <c r="AD118" s="29">
        <v>23456</v>
      </c>
      <c r="AE118" s="29" t="s">
        <v>624</v>
      </c>
      <c r="AF118" s="28" t="s">
        <v>630</v>
      </c>
      <c r="AG118" s="35"/>
      <c r="AH118" s="5"/>
      <c r="AI118" s="5"/>
      <c r="AJ118" s="5"/>
      <c r="AK118" s="5"/>
      <c r="AL118" s="5"/>
      <c r="AM118" s="5"/>
      <c r="AN118" s="5"/>
      <c r="AO118" s="5"/>
      <c r="AP118" s="5"/>
      <c r="AQ118" s="5"/>
      <c r="AR118" s="5"/>
      <c r="AS118" s="5" t="s">
        <v>106</v>
      </c>
      <c r="AT118" s="5" t="s">
        <v>103</v>
      </c>
      <c r="AU118" s="5" t="s">
        <v>104</v>
      </c>
      <c r="AV118" s="5" t="s">
        <v>122</v>
      </c>
      <c r="AW118" s="5" t="s">
        <v>104</v>
      </c>
      <c r="AX118" s="11" t="s">
        <v>761</v>
      </c>
      <c r="AY118" s="12" t="s">
        <v>121</v>
      </c>
      <c r="AZ118" s="14"/>
      <c r="BA118" s="14"/>
    </row>
    <row r="119" spans="1:53" s="49" customFormat="1" ht="15" customHeight="1">
      <c r="A119" s="42">
        <f t="shared" si="5"/>
        <v>116</v>
      </c>
      <c r="B119" s="4" t="s">
        <v>294</v>
      </c>
      <c r="C119" s="4" t="s">
        <v>414</v>
      </c>
      <c r="D119" s="21">
        <v>42485</v>
      </c>
      <c r="E119" s="67"/>
      <c r="F119" s="14"/>
      <c r="G119" s="4"/>
      <c r="H119" s="4" t="s">
        <v>142</v>
      </c>
      <c r="I119" s="4" t="s">
        <v>143</v>
      </c>
      <c r="J119" s="4" t="s">
        <v>141</v>
      </c>
      <c r="K119" s="4" t="s">
        <v>141</v>
      </c>
      <c r="L119" s="4" t="s">
        <v>141</v>
      </c>
      <c r="M119" s="22" t="s">
        <v>15</v>
      </c>
      <c r="N119" s="25"/>
      <c r="O119" s="25" t="s">
        <v>15</v>
      </c>
      <c r="P119" s="25"/>
      <c r="Q119" s="25"/>
      <c r="R119" s="22"/>
      <c r="S119" s="6" t="s">
        <v>459</v>
      </c>
      <c r="T119" s="4" t="s">
        <v>581</v>
      </c>
      <c r="U119" s="28"/>
      <c r="V119" s="28"/>
      <c r="W119" s="28"/>
      <c r="X119" s="28"/>
      <c r="Y119" s="28" t="s">
        <v>500</v>
      </c>
      <c r="Z119" s="28"/>
      <c r="AA119" s="28"/>
      <c r="AB119" s="28"/>
      <c r="AC119" s="28"/>
      <c r="AD119" s="29">
        <v>23456</v>
      </c>
      <c r="AE119" s="29" t="s">
        <v>625</v>
      </c>
      <c r="AF119" s="28" t="s">
        <v>626</v>
      </c>
      <c r="AG119" s="35"/>
      <c r="AH119" s="5"/>
      <c r="AI119" s="5"/>
      <c r="AJ119" s="5"/>
      <c r="AK119" s="5"/>
      <c r="AL119" s="5"/>
      <c r="AM119" s="5"/>
      <c r="AN119" s="5"/>
      <c r="AO119" s="5"/>
      <c r="AP119" s="5"/>
      <c r="AQ119" s="5"/>
      <c r="AR119" s="5"/>
      <c r="AS119" s="5" t="s">
        <v>102</v>
      </c>
      <c r="AT119" s="5" t="s">
        <v>103</v>
      </c>
      <c r="AU119" s="5" t="s">
        <v>104</v>
      </c>
      <c r="AV119" s="5" t="s">
        <v>130</v>
      </c>
      <c r="AW119" s="5" t="s">
        <v>104</v>
      </c>
      <c r="AX119" s="11" t="s">
        <v>762</v>
      </c>
      <c r="AY119" s="12" t="s">
        <v>121</v>
      </c>
      <c r="AZ119" s="14"/>
      <c r="BA119" s="14"/>
    </row>
    <row r="120" spans="1:53" s="49" customFormat="1" ht="15" customHeight="1">
      <c r="A120" s="42">
        <f t="shared" si="5"/>
        <v>117</v>
      </c>
      <c r="B120" s="4" t="s">
        <v>295</v>
      </c>
      <c r="C120" s="4" t="s">
        <v>415</v>
      </c>
      <c r="D120" s="21">
        <v>42486</v>
      </c>
      <c r="E120" s="52"/>
      <c r="F120" s="46"/>
      <c r="G120" s="4" t="s">
        <v>144</v>
      </c>
      <c r="H120" s="4" t="s">
        <v>144</v>
      </c>
      <c r="I120" s="4" t="s">
        <v>144</v>
      </c>
      <c r="J120" s="4" t="s">
        <v>144</v>
      </c>
      <c r="K120" s="4" t="s">
        <v>144</v>
      </c>
      <c r="L120" s="4" t="s">
        <v>144</v>
      </c>
      <c r="M120" s="22"/>
      <c r="N120" s="25" t="s">
        <v>15</v>
      </c>
      <c r="O120" s="25"/>
      <c r="P120" s="25"/>
      <c r="Q120" s="25" t="s">
        <v>15</v>
      </c>
      <c r="R120" s="22"/>
      <c r="S120" s="6" t="s">
        <v>460</v>
      </c>
      <c r="T120" s="4" t="s">
        <v>582</v>
      </c>
      <c r="U120" s="28"/>
      <c r="V120" s="28"/>
      <c r="W120" s="28"/>
      <c r="X120" s="28"/>
      <c r="Y120" s="28" t="s">
        <v>501</v>
      </c>
      <c r="Z120" s="28"/>
      <c r="AA120" s="28"/>
      <c r="AB120" s="28"/>
      <c r="AC120" s="28"/>
      <c r="AD120" s="29">
        <v>12345</v>
      </c>
      <c r="AE120" s="29" t="s">
        <v>624</v>
      </c>
      <c r="AF120" s="28" t="s">
        <v>627</v>
      </c>
      <c r="AG120" s="35"/>
      <c r="AH120" s="5"/>
      <c r="AI120" s="5"/>
      <c r="AJ120" s="5"/>
      <c r="AK120" s="5"/>
      <c r="AL120" s="5" t="s">
        <v>15</v>
      </c>
      <c r="AM120" s="5"/>
      <c r="AN120" s="5"/>
      <c r="AO120" s="5"/>
      <c r="AP120" s="5"/>
      <c r="AQ120" s="5"/>
      <c r="AR120" s="5"/>
      <c r="AS120" s="5" t="s">
        <v>111</v>
      </c>
      <c r="AT120" s="5" t="s">
        <v>108</v>
      </c>
      <c r="AU120" s="5" t="s">
        <v>104</v>
      </c>
      <c r="AV120" s="5" t="s">
        <v>122</v>
      </c>
      <c r="AW120" s="5" t="s">
        <v>104</v>
      </c>
      <c r="AX120" s="11" t="s">
        <v>763</v>
      </c>
      <c r="AY120" s="12" t="str">
        <f>IFERROR(VLOOKUP(MATCH(" ",AG120:AQ120,-1),'[1]erlaubte Werte'!J$2:K$13,2,0),"")</f>
        <v/>
      </c>
      <c r="AZ120" s="46"/>
      <c r="BA120" s="7"/>
    </row>
    <row r="121" spans="1:53" s="49" customFormat="1" ht="15" customHeight="1">
      <c r="A121" s="42">
        <f t="shared" si="5"/>
        <v>118</v>
      </c>
      <c r="B121" s="4" t="s">
        <v>296</v>
      </c>
      <c r="C121" s="4" t="s">
        <v>416</v>
      </c>
      <c r="D121" s="21">
        <v>42487</v>
      </c>
      <c r="E121" s="52"/>
      <c r="F121" s="46"/>
      <c r="G121" s="4" t="s">
        <v>142</v>
      </c>
      <c r="H121" s="4" t="s">
        <v>142</v>
      </c>
      <c r="I121" s="4" t="s">
        <v>142</v>
      </c>
      <c r="J121" s="4" t="s">
        <v>142</v>
      </c>
      <c r="K121" s="4" t="s">
        <v>142</v>
      </c>
      <c r="L121" s="4" t="s">
        <v>142</v>
      </c>
      <c r="M121" s="22" t="s">
        <v>15</v>
      </c>
      <c r="N121" s="25"/>
      <c r="O121" s="25"/>
      <c r="P121" s="25"/>
      <c r="Q121" s="25"/>
      <c r="R121" s="22"/>
      <c r="S121" s="6" t="s">
        <v>461</v>
      </c>
      <c r="T121" s="4" t="s">
        <v>583</v>
      </c>
      <c r="U121" s="28"/>
      <c r="V121" s="28"/>
      <c r="W121" s="28"/>
      <c r="X121" s="28"/>
      <c r="Y121" s="28" t="s">
        <v>502</v>
      </c>
      <c r="Z121" s="28"/>
      <c r="AA121" s="28"/>
      <c r="AB121" s="28"/>
      <c r="AC121" s="28"/>
      <c r="AD121" s="29">
        <v>12345</v>
      </c>
      <c r="AE121" s="29" t="s">
        <v>625</v>
      </c>
      <c r="AF121" s="28" t="s">
        <v>628</v>
      </c>
      <c r="AG121" s="35"/>
      <c r="AH121" s="5"/>
      <c r="AI121" s="5"/>
      <c r="AJ121" s="5"/>
      <c r="AK121" s="5" t="s">
        <v>15</v>
      </c>
      <c r="AL121" s="5"/>
      <c r="AM121" s="5"/>
      <c r="AN121" s="5"/>
      <c r="AO121" s="5"/>
      <c r="AP121" s="5"/>
      <c r="AQ121" s="5"/>
      <c r="AR121" s="5"/>
      <c r="AS121" s="5">
        <v>4</v>
      </c>
      <c r="AT121" s="5" t="s">
        <v>103</v>
      </c>
      <c r="AU121" s="5" t="s">
        <v>115</v>
      </c>
      <c r="AV121" s="5"/>
      <c r="AW121" s="5" t="s">
        <v>104</v>
      </c>
      <c r="AX121" s="11" t="s">
        <v>764</v>
      </c>
      <c r="AY121" s="12" t="str">
        <f>IFERROR(VLOOKUP(MATCH(" ",AG121:AQ121,-1),'[1]erlaubte Werte'!J$2:K$13,2,0),"")</f>
        <v/>
      </c>
      <c r="AZ121" s="46"/>
      <c r="BA121" s="7"/>
    </row>
    <row r="122" spans="1:53" s="49" customFormat="1" ht="15" customHeight="1">
      <c r="A122" s="42">
        <f t="shared" si="5"/>
        <v>119</v>
      </c>
      <c r="B122" s="4" t="s">
        <v>297</v>
      </c>
      <c r="C122" s="4" t="s">
        <v>417</v>
      </c>
      <c r="D122" s="21">
        <v>42488</v>
      </c>
      <c r="E122" s="67" t="s">
        <v>173</v>
      </c>
      <c r="F122" s="14" t="s">
        <v>96</v>
      </c>
      <c r="G122" s="4" t="s">
        <v>143</v>
      </c>
      <c r="H122" s="4" t="s">
        <v>143</v>
      </c>
      <c r="I122" s="4" t="s">
        <v>143</v>
      </c>
      <c r="J122" s="4" t="s">
        <v>143</v>
      </c>
      <c r="K122" s="4" t="s">
        <v>143</v>
      </c>
      <c r="L122" s="4" t="s">
        <v>143</v>
      </c>
      <c r="M122" s="22" t="s">
        <v>15</v>
      </c>
      <c r="N122" s="25"/>
      <c r="O122" s="25" t="s">
        <v>15</v>
      </c>
      <c r="P122" s="25"/>
      <c r="Q122" s="25"/>
      <c r="R122" s="22"/>
      <c r="S122" s="6" t="s">
        <v>462</v>
      </c>
      <c r="T122" s="4" t="s">
        <v>584</v>
      </c>
      <c r="U122" s="28"/>
      <c r="V122" s="28"/>
      <c r="W122" s="28"/>
      <c r="X122" s="28"/>
      <c r="Y122" s="28" t="s">
        <v>503</v>
      </c>
      <c r="Z122" s="28"/>
      <c r="AA122" s="28"/>
      <c r="AB122" s="28"/>
      <c r="AC122" s="28"/>
      <c r="AD122" s="29">
        <v>23456</v>
      </c>
      <c r="AE122" s="29" t="s">
        <v>624</v>
      </c>
      <c r="AF122" s="28" t="s">
        <v>629</v>
      </c>
      <c r="AG122" s="35"/>
      <c r="AH122" s="5" t="s">
        <v>110</v>
      </c>
      <c r="AI122" s="5"/>
      <c r="AJ122" s="5"/>
      <c r="AK122" s="5"/>
      <c r="AL122" s="5"/>
      <c r="AM122" s="5"/>
      <c r="AN122" s="5"/>
      <c r="AO122" s="5"/>
      <c r="AP122" s="5"/>
      <c r="AQ122" s="5"/>
      <c r="AR122" s="5"/>
      <c r="AS122" s="5">
        <v>4</v>
      </c>
      <c r="AT122" s="5" t="s">
        <v>108</v>
      </c>
      <c r="AU122" s="5" t="s">
        <v>104</v>
      </c>
      <c r="AV122" s="5" t="s">
        <v>131</v>
      </c>
      <c r="AW122" s="5" t="s">
        <v>104</v>
      </c>
      <c r="AX122" s="11" t="s">
        <v>765</v>
      </c>
      <c r="AY122" s="12" t="s">
        <v>121</v>
      </c>
      <c r="AZ122" s="14"/>
      <c r="BA122" s="14"/>
    </row>
    <row r="123" spans="1:53" s="48" customFormat="1" ht="15" customHeight="1">
      <c r="A123" s="42">
        <f t="shared" si="5"/>
        <v>120</v>
      </c>
      <c r="B123" s="4" t="s">
        <v>298</v>
      </c>
      <c r="C123" s="4" t="s">
        <v>418</v>
      </c>
      <c r="D123" s="21">
        <v>42489</v>
      </c>
      <c r="E123" s="66" t="s">
        <v>173</v>
      </c>
      <c r="F123" s="13" t="s">
        <v>96</v>
      </c>
      <c r="G123" s="4"/>
      <c r="H123" s="4" t="s">
        <v>143</v>
      </c>
      <c r="I123" s="4" t="s">
        <v>143</v>
      </c>
      <c r="J123" s="4" t="s">
        <v>144</v>
      </c>
      <c r="K123" s="4" t="s">
        <v>144</v>
      </c>
      <c r="L123" s="4" t="s">
        <v>143</v>
      </c>
      <c r="M123" s="22"/>
      <c r="N123" s="25" t="s">
        <v>15</v>
      </c>
      <c r="O123" s="25" t="s">
        <v>15</v>
      </c>
      <c r="P123" s="25"/>
      <c r="Q123" s="25"/>
      <c r="R123" s="22"/>
      <c r="S123" s="6" t="s">
        <v>463</v>
      </c>
      <c r="T123" s="4" t="s">
        <v>585</v>
      </c>
      <c r="U123" s="28"/>
      <c r="V123" s="28"/>
      <c r="W123" s="28"/>
      <c r="X123" s="28"/>
      <c r="Y123" s="28" t="s">
        <v>504</v>
      </c>
      <c r="Z123" s="28"/>
      <c r="AA123" s="28"/>
      <c r="AB123" s="28"/>
      <c r="AC123" s="28"/>
      <c r="AD123" s="29">
        <v>23456</v>
      </c>
      <c r="AE123" s="29" t="s">
        <v>625</v>
      </c>
      <c r="AF123" s="28" t="s">
        <v>630</v>
      </c>
      <c r="AG123" s="35"/>
      <c r="AH123" s="5" t="s">
        <v>15</v>
      </c>
      <c r="AI123" s="5"/>
      <c r="AJ123" s="5"/>
      <c r="AK123" s="5"/>
      <c r="AL123" s="5"/>
      <c r="AM123" s="5"/>
      <c r="AN123" s="5"/>
      <c r="AO123" s="5"/>
      <c r="AP123" s="5"/>
      <c r="AQ123" s="5"/>
      <c r="AR123" s="5"/>
      <c r="AS123" s="5" t="s">
        <v>102</v>
      </c>
      <c r="AT123" s="5" t="s">
        <v>103</v>
      </c>
      <c r="AU123" s="5" t="s">
        <v>104</v>
      </c>
      <c r="AV123" s="5" t="s">
        <v>122</v>
      </c>
      <c r="AW123" s="5" t="s">
        <v>104</v>
      </c>
      <c r="AX123" s="11" t="s">
        <v>766</v>
      </c>
      <c r="AY123" s="12" t="s">
        <v>121</v>
      </c>
      <c r="AZ123" s="13"/>
      <c r="BA123" s="13"/>
    </row>
    <row r="124" spans="1:53" s="49" customFormat="1" ht="15" customHeight="1">
      <c r="A124" s="42">
        <f t="shared" si="5"/>
        <v>121</v>
      </c>
      <c r="B124" s="4" t="s">
        <v>299</v>
      </c>
      <c r="C124" s="4" t="s">
        <v>419</v>
      </c>
      <c r="D124" s="21">
        <v>42490</v>
      </c>
      <c r="E124" s="66"/>
      <c r="F124" s="13"/>
      <c r="G124" s="4"/>
      <c r="H124" s="4" t="s">
        <v>143</v>
      </c>
      <c r="I124" s="4" t="s">
        <v>142</v>
      </c>
      <c r="J124" s="4" t="s">
        <v>142</v>
      </c>
      <c r="K124" s="4" t="s">
        <v>142</v>
      </c>
      <c r="L124" s="4" t="s">
        <v>142</v>
      </c>
      <c r="M124" s="22" t="s">
        <v>15</v>
      </c>
      <c r="N124" s="25"/>
      <c r="O124" s="25" t="s">
        <v>15</v>
      </c>
      <c r="P124" s="25"/>
      <c r="Q124" s="25"/>
      <c r="R124" s="22"/>
      <c r="S124" s="6" t="s">
        <v>464</v>
      </c>
      <c r="T124" s="4" t="s">
        <v>586</v>
      </c>
      <c r="U124" s="12"/>
      <c r="V124" s="12"/>
      <c r="W124" s="12"/>
      <c r="X124" s="12"/>
      <c r="Y124" s="28" t="s">
        <v>505</v>
      </c>
      <c r="Z124" s="29"/>
      <c r="AA124" s="29"/>
      <c r="AB124" s="29"/>
      <c r="AC124" s="29"/>
      <c r="AD124" s="29">
        <v>12345</v>
      </c>
      <c r="AE124" s="29" t="s">
        <v>624</v>
      </c>
      <c r="AF124" s="28" t="s">
        <v>626</v>
      </c>
      <c r="AG124" s="35"/>
      <c r="AH124" s="5"/>
      <c r="AI124" s="5"/>
      <c r="AJ124" s="5"/>
      <c r="AK124" s="5"/>
      <c r="AL124" s="5"/>
      <c r="AM124" s="5" t="s">
        <v>15</v>
      </c>
      <c r="AN124" s="5"/>
      <c r="AO124" s="5"/>
      <c r="AP124" s="5"/>
      <c r="AQ124" s="5"/>
      <c r="AR124" s="5"/>
      <c r="AS124" s="5"/>
      <c r="AT124" s="5" t="s">
        <v>103</v>
      </c>
      <c r="AU124" s="5" t="s">
        <v>104</v>
      </c>
      <c r="AV124" s="5" t="s">
        <v>122</v>
      </c>
      <c r="AW124" s="5" t="s">
        <v>104</v>
      </c>
      <c r="AX124" s="11" t="s">
        <v>767</v>
      </c>
      <c r="AY124" s="12" t="s">
        <v>121</v>
      </c>
      <c r="AZ124" s="13"/>
      <c r="BA124" s="13"/>
    </row>
    <row r="125" spans="1:53" s="49" customFormat="1" ht="15" customHeight="1">
      <c r="A125" s="42">
        <f t="shared" si="5"/>
        <v>122</v>
      </c>
      <c r="B125" s="4" t="s">
        <v>300</v>
      </c>
      <c r="C125" s="4" t="s">
        <v>420</v>
      </c>
      <c r="D125" s="21">
        <v>42491</v>
      </c>
      <c r="E125" s="66"/>
      <c r="F125" s="13"/>
      <c r="G125" s="4" t="s">
        <v>141</v>
      </c>
      <c r="H125" s="4" t="s">
        <v>141</v>
      </c>
      <c r="I125" s="4" t="s">
        <v>141</v>
      </c>
      <c r="J125" s="4" t="s">
        <v>141</v>
      </c>
      <c r="K125" s="4" t="s">
        <v>141</v>
      </c>
      <c r="L125" s="4" t="s">
        <v>141</v>
      </c>
      <c r="M125" s="22" t="s">
        <v>15</v>
      </c>
      <c r="N125" s="25"/>
      <c r="O125" s="25" t="s">
        <v>15</v>
      </c>
      <c r="P125" s="25"/>
      <c r="Q125" s="25"/>
      <c r="R125" s="22"/>
      <c r="S125" s="6" t="s">
        <v>465</v>
      </c>
      <c r="T125" s="4" t="s">
        <v>587</v>
      </c>
      <c r="U125" s="12"/>
      <c r="V125" s="12"/>
      <c r="W125" s="12"/>
      <c r="X125" s="12"/>
      <c r="Y125" s="28" t="s">
        <v>506</v>
      </c>
      <c r="Z125" s="29"/>
      <c r="AA125" s="29"/>
      <c r="AB125" s="29"/>
      <c r="AC125" s="29"/>
      <c r="AD125" s="29">
        <v>12345</v>
      </c>
      <c r="AE125" s="29" t="s">
        <v>625</v>
      </c>
      <c r="AF125" s="28" t="s">
        <v>627</v>
      </c>
      <c r="AG125" s="35"/>
      <c r="AH125" s="5"/>
      <c r="AI125" s="5"/>
      <c r="AJ125" s="5"/>
      <c r="AK125" s="5" t="s">
        <v>15</v>
      </c>
      <c r="AL125" s="5"/>
      <c r="AM125" s="5"/>
      <c r="AN125" s="5"/>
      <c r="AO125" s="5"/>
      <c r="AP125" s="5"/>
      <c r="AQ125" s="5"/>
      <c r="AR125" s="5"/>
      <c r="AS125" s="5" t="s">
        <v>102</v>
      </c>
      <c r="AT125" s="5" t="s">
        <v>103</v>
      </c>
      <c r="AU125" s="5" t="s">
        <v>104</v>
      </c>
      <c r="AV125" s="5" t="s">
        <v>122</v>
      </c>
      <c r="AW125" s="5" t="s">
        <v>104</v>
      </c>
      <c r="AX125" s="11" t="s">
        <v>768</v>
      </c>
      <c r="AY125" s="12" t="s">
        <v>121</v>
      </c>
      <c r="AZ125" s="13"/>
      <c r="BA125" s="13"/>
    </row>
    <row r="126" spans="1:53" s="13" customFormat="1" ht="20.25" customHeight="1">
      <c r="A126" s="42"/>
      <c r="B126" s="4"/>
      <c r="C126" s="4"/>
      <c r="D126" s="21"/>
      <c r="E126" s="66"/>
      <c r="G126" s="4"/>
      <c r="H126" s="4"/>
      <c r="I126" s="4"/>
      <c r="J126" s="4"/>
      <c r="K126" s="4"/>
      <c r="L126" s="4"/>
      <c r="M126" s="4"/>
      <c r="N126" s="5"/>
      <c r="O126" s="5"/>
      <c r="P126" s="5"/>
      <c r="Q126" s="5"/>
      <c r="R126" s="4"/>
      <c r="S126" s="6"/>
      <c r="T126" s="7"/>
      <c r="U126" s="12"/>
      <c r="V126" s="12"/>
      <c r="W126" s="12"/>
      <c r="X126" s="12"/>
      <c r="Y126" s="30"/>
      <c r="Z126" s="29"/>
      <c r="AA126" s="29"/>
      <c r="AB126" s="29"/>
      <c r="AC126" s="29"/>
      <c r="AD126" s="29"/>
      <c r="AE126" s="29"/>
      <c r="AF126" s="28"/>
      <c r="AG126" s="35"/>
      <c r="AH126" s="5"/>
      <c r="AI126" s="5"/>
      <c r="AJ126" s="5"/>
      <c r="AK126" s="5"/>
      <c r="AL126" s="5"/>
      <c r="AM126" s="5"/>
      <c r="AN126" s="5"/>
      <c r="AO126" s="5"/>
      <c r="AP126" s="5"/>
      <c r="AQ126" s="5"/>
      <c r="AR126" s="5"/>
      <c r="AS126" s="5"/>
      <c r="AT126" s="5"/>
      <c r="AU126" s="5"/>
      <c r="AV126" s="5"/>
      <c r="AW126" s="5"/>
      <c r="AX126" s="11"/>
      <c r="AY126" s="12" t="s">
        <v>121</v>
      </c>
    </row>
    <row r="127" spans="1:53" s="13" customFormat="1" ht="20.25" customHeight="1">
      <c r="A127" s="42"/>
      <c r="B127" s="4"/>
      <c r="C127" s="4"/>
      <c r="D127" s="21"/>
      <c r="E127" s="66"/>
      <c r="G127" s="4"/>
      <c r="H127" s="4"/>
      <c r="I127" s="4"/>
      <c r="J127" s="4"/>
      <c r="K127" s="4"/>
      <c r="L127" s="4"/>
      <c r="M127" s="4"/>
      <c r="N127" s="5"/>
      <c r="O127" s="5"/>
      <c r="P127" s="5"/>
      <c r="Q127" s="5"/>
      <c r="R127" s="4"/>
      <c r="S127" s="6"/>
      <c r="T127" s="7"/>
      <c r="U127" s="28"/>
      <c r="V127" s="28"/>
      <c r="W127" s="28"/>
      <c r="X127" s="28"/>
      <c r="Y127" s="30"/>
      <c r="Z127" s="29"/>
      <c r="AA127" s="29"/>
      <c r="AB127" s="29"/>
      <c r="AC127" s="29"/>
      <c r="AD127" s="29"/>
      <c r="AE127" s="29"/>
      <c r="AF127" s="28"/>
      <c r="AG127" s="35"/>
      <c r="AH127" s="5"/>
      <c r="AI127" s="5"/>
      <c r="AJ127" s="5"/>
      <c r="AK127" s="5"/>
      <c r="AL127" s="5"/>
      <c r="AM127" s="5"/>
      <c r="AN127" s="5"/>
      <c r="AO127" s="5"/>
      <c r="AP127" s="5"/>
      <c r="AQ127" s="5"/>
      <c r="AR127" s="5"/>
      <c r="AS127" s="5"/>
      <c r="AT127" s="5"/>
      <c r="AU127" s="5"/>
      <c r="AV127" s="5"/>
      <c r="AW127" s="5"/>
      <c r="AX127" s="11"/>
      <c r="AY127" s="12" t="s">
        <v>121</v>
      </c>
    </row>
    <row r="128" spans="1:53" s="13" customFormat="1" ht="20.25" customHeight="1">
      <c r="A128" s="42"/>
      <c r="B128" s="4"/>
      <c r="C128" s="4"/>
      <c r="D128" s="21"/>
      <c r="E128" s="66"/>
      <c r="G128" s="4"/>
      <c r="H128" s="4"/>
      <c r="I128" s="4"/>
      <c r="J128" s="4"/>
      <c r="K128" s="4"/>
      <c r="L128" s="4"/>
      <c r="M128" s="4"/>
      <c r="N128" s="5"/>
      <c r="O128" s="5"/>
      <c r="P128" s="5"/>
      <c r="Q128" s="5"/>
      <c r="R128" s="4"/>
      <c r="S128" s="6"/>
      <c r="T128" s="7"/>
      <c r="U128" s="28"/>
      <c r="V128" s="28"/>
      <c r="W128" s="28"/>
      <c r="X128" s="28"/>
      <c r="Y128" s="30"/>
      <c r="Z128" s="29"/>
      <c r="AA128" s="29"/>
      <c r="AB128" s="29"/>
      <c r="AC128" s="29"/>
      <c r="AD128" s="29"/>
      <c r="AE128" s="29"/>
      <c r="AF128" s="28"/>
      <c r="AG128" s="35"/>
      <c r="AH128" s="5"/>
      <c r="AI128" s="5"/>
      <c r="AJ128" s="5"/>
      <c r="AK128" s="5"/>
      <c r="AL128" s="5"/>
      <c r="AM128" s="5"/>
      <c r="AN128" s="5"/>
      <c r="AO128" s="5"/>
      <c r="AP128" s="5"/>
      <c r="AQ128" s="5"/>
      <c r="AR128" s="5"/>
      <c r="AS128" s="5"/>
      <c r="AT128" s="5"/>
      <c r="AU128" s="5"/>
      <c r="AV128" s="5"/>
      <c r="AW128" s="5"/>
      <c r="AX128" s="11"/>
      <c r="AY128" s="12" t="s">
        <v>121</v>
      </c>
    </row>
    <row r="129" spans="1:51" s="13" customFormat="1" ht="20.25" customHeight="1">
      <c r="A129" s="42"/>
      <c r="B129" s="4"/>
      <c r="C129" s="4"/>
      <c r="D129" s="21"/>
      <c r="E129" s="66"/>
      <c r="G129" s="5"/>
      <c r="H129" s="5"/>
      <c r="I129" s="5"/>
      <c r="J129" s="5"/>
      <c r="K129" s="5"/>
      <c r="L129" s="5"/>
      <c r="M129" s="5"/>
      <c r="N129" s="5"/>
      <c r="O129" s="5"/>
      <c r="P129" s="5"/>
      <c r="Q129" s="5"/>
      <c r="R129" s="4"/>
      <c r="S129" s="6"/>
      <c r="T129" s="7"/>
      <c r="U129" s="28"/>
      <c r="V129" s="28"/>
      <c r="W129" s="28"/>
      <c r="X129" s="28"/>
      <c r="Y129" s="30"/>
      <c r="Z129" s="29"/>
      <c r="AA129" s="29"/>
      <c r="AB129" s="29"/>
      <c r="AC129" s="29"/>
      <c r="AD129" s="29"/>
      <c r="AE129" s="29"/>
      <c r="AF129" s="28"/>
      <c r="AG129" s="35"/>
      <c r="AH129" s="5"/>
      <c r="AI129" s="5"/>
      <c r="AJ129" s="5"/>
      <c r="AK129" s="5"/>
      <c r="AL129" s="5"/>
      <c r="AM129" s="5"/>
      <c r="AN129" s="5"/>
      <c r="AO129" s="5"/>
      <c r="AP129" s="5"/>
      <c r="AQ129" s="5"/>
      <c r="AR129" s="5"/>
      <c r="AS129" s="5"/>
      <c r="AT129" s="5"/>
      <c r="AU129" s="5"/>
      <c r="AV129" s="5"/>
      <c r="AW129" s="5"/>
      <c r="AX129" s="11"/>
      <c r="AY129" s="12" t="s">
        <v>121</v>
      </c>
    </row>
    <row r="130" spans="1:51" s="13" customFormat="1" ht="20.25" customHeight="1">
      <c r="A130" s="42"/>
      <c r="B130" s="4"/>
      <c r="C130" s="4"/>
      <c r="D130" s="21"/>
      <c r="E130" s="66"/>
      <c r="G130" s="5"/>
      <c r="H130" s="5"/>
      <c r="I130" s="5"/>
      <c r="J130" s="5"/>
      <c r="K130" s="5"/>
      <c r="L130" s="5"/>
      <c r="M130" s="5"/>
      <c r="N130" s="5"/>
      <c r="O130" s="5"/>
      <c r="P130" s="5"/>
      <c r="Q130" s="5"/>
      <c r="R130" s="4"/>
      <c r="S130" s="6"/>
      <c r="T130" s="7"/>
      <c r="U130" s="28"/>
      <c r="V130" s="28"/>
      <c r="W130" s="28"/>
      <c r="X130" s="28"/>
      <c r="Y130" s="30"/>
      <c r="Z130" s="29"/>
      <c r="AA130" s="29"/>
      <c r="AB130" s="29"/>
      <c r="AC130" s="29"/>
      <c r="AD130" s="29"/>
      <c r="AE130" s="29"/>
      <c r="AF130" s="28"/>
      <c r="AG130" s="35"/>
      <c r="AH130" s="5"/>
      <c r="AI130" s="5"/>
      <c r="AJ130" s="5"/>
      <c r="AK130" s="5"/>
      <c r="AL130" s="5"/>
      <c r="AM130" s="5"/>
      <c r="AN130" s="5"/>
      <c r="AO130" s="5"/>
      <c r="AP130" s="5"/>
      <c r="AQ130" s="5"/>
      <c r="AR130" s="5"/>
      <c r="AS130" s="5"/>
      <c r="AT130" s="5"/>
      <c r="AU130" s="5"/>
      <c r="AV130" s="5"/>
      <c r="AW130" s="5"/>
      <c r="AX130" s="11"/>
      <c r="AY130" s="12" t="s">
        <v>121</v>
      </c>
    </row>
    <row r="131" spans="1:51" s="13" customFormat="1" ht="20.25" customHeight="1">
      <c r="A131" s="42"/>
      <c r="B131" s="4"/>
      <c r="C131" s="4"/>
      <c r="D131" s="21"/>
      <c r="E131" s="66"/>
      <c r="G131" s="5"/>
      <c r="H131" s="5"/>
      <c r="I131" s="5"/>
      <c r="J131" s="5"/>
      <c r="K131" s="5"/>
      <c r="L131" s="5"/>
      <c r="M131" s="5"/>
      <c r="N131" s="5"/>
      <c r="O131" s="5"/>
      <c r="P131" s="5"/>
      <c r="Q131" s="5"/>
      <c r="R131" s="4"/>
      <c r="S131" s="6"/>
      <c r="T131" s="7"/>
      <c r="U131" s="28"/>
      <c r="V131" s="28"/>
      <c r="W131" s="28"/>
      <c r="X131" s="28"/>
      <c r="Y131" s="30"/>
      <c r="Z131" s="29"/>
      <c r="AA131" s="29"/>
      <c r="AB131" s="29"/>
      <c r="AC131" s="29"/>
      <c r="AD131" s="29"/>
      <c r="AE131" s="29"/>
      <c r="AF131" s="28"/>
      <c r="AG131" s="35"/>
      <c r="AH131" s="5"/>
      <c r="AI131" s="5"/>
      <c r="AJ131" s="5"/>
      <c r="AK131" s="5"/>
      <c r="AL131" s="5"/>
      <c r="AM131" s="5"/>
      <c r="AN131" s="5"/>
      <c r="AO131" s="5"/>
      <c r="AP131" s="5"/>
      <c r="AQ131" s="5"/>
      <c r="AR131" s="5"/>
      <c r="AS131" s="5"/>
      <c r="AT131" s="5"/>
      <c r="AU131" s="5"/>
      <c r="AV131" s="5"/>
      <c r="AW131" s="5"/>
      <c r="AX131" s="11"/>
      <c r="AY131" s="12" t="s">
        <v>121</v>
      </c>
    </row>
    <row r="132" spans="1:51" s="13" customFormat="1" ht="20.25" customHeight="1">
      <c r="A132" s="42"/>
      <c r="B132" s="4"/>
      <c r="C132" s="4"/>
      <c r="D132" s="21"/>
      <c r="E132" s="66"/>
      <c r="G132" s="5"/>
      <c r="H132" s="5"/>
      <c r="I132" s="5"/>
      <c r="J132" s="5"/>
      <c r="K132" s="5"/>
      <c r="L132" s="5"/>
      <c r="M132" s="5"/>
      <c r="N132" s="5"/>
      <c r="O132" s="5"/>
      <c r="P132" s="5"/>
      <c r="Q132" s="5"/>
      <c r="R132" s="4"/>
      <c r="S132" s="6"/>
      <c r="T132" s="7"/>
      <c r="U132" s="28"/>
      <c r="V132" s="28"/>
      <c r="W132" s="28"/>
      <c r="X132" s="28"/>
      <c r="Y132" s="30"/>
      <c r="Z132" s="29"/>
      <c r="AA132" s="29"/>
      <c r="AB132" s="29"/>
      <c r="AC132" s="29"/>
      <c r="AD132" s="29"/>
      <c r="AE132" s="29"/>
      <c r="AF132" s="28"/>
      <c r="AG132" s="35"/>
      <c r="AH132" s="5"/>
      <c r="AI132" s="5"/>
      <c r="AJ132" s="5"/>
      <c r="AK132" s="5"/>
      <c r="AL132" s="5"/>
      <c r="AM132" s="5"/>
      <c r="AN132" s="5"/>
      <c r="AO132" s="5"/>
      <c r="AP132" s="5"/>
      <c r="AQ132" s="5"/>
      <c r="AR132" s="5"/>
      <c r="AS132" s="5"/>
      <c r="AT132" s="5"/>
      <c r="AU132" s="5"/>
      <c r="AV132" s="5"/>
      <c r="AW132" s="5"/>
      <c r="AX132" s="11"/>
      <c r="AY132" s="12" t="s">
        <v>121</v>
      </c>
    </row>
    <row r="133" spans="1:51" s="13" customFormat="1" ht="20.25" customHeight="1">
      <c r="A133" s="42"/>
      <c r="B133" s="4"/>
      <c r="C133" s="4"/>
      <c r="D133" s="21"/>
      <c r="E133" s="66"/>
      <c r="G133" s="5"/>
      <c r="H133" s="5"/>
      <c r="I133" s="5"/>
      <c r="J133" s="5"/>
      <c r="K133" s="5"/>
      <c r="L133" s="5"/>
      <c r="M133" s="5"/>
      <c r="N133" s="5"/>
      <c r="O133" s="5"/>
      <c r="P133" s="5"/>
      <c r="Q133" s="5"/>
      <c r="R133" s="4"/>
      <c r="S133" s="6"/>
      <c r="T133" s="7"/>
      <c r="U133" s="28"/>
      <c r="V133" s="28"/>
      <c r="W133" s="28"/>
      <c r="X133" s="28"/>
      <c r="Y133" s="30"/>
      <c r="Z133" s="29"/>
      <c r="AA133" s="29"/>
      <c r="AB133" s="29"/>
      <c r="AC133" s="29"/>
      <c r="AD133" s="29"/>
      <c r="AE133" s="29"/>
      <c r="AF133" s="28"/>
      <c r="AG133" s="35"/>
      <c r="AH133" s="5"/>
      <c r="AI133" s="5"/>
      <c r="AJ133" s="5"/>
      <c r="AK133" s="5"/>
      <c r="AL133" s="5"/>
      <c r="AM133" s="5"/>
      <c r="AN133" s="5"/>
      <c r="AO133" s="5"/>
      <c r="AP133" s="5"/>
      <c r="AQ133" s="5"/>
      <c r="AR133" s="5"/>
      <c r="AS133" s="5"/>
      <c r="AT133" s="5"/>
      <c r="AU133" s="5"/>
      <c r="AV133" s="5"/>
      <c r="AW133" s="5"/>
      <c r="AX133" s="11"/>
      <c r="AY133" s="12" t="s">
        <v>121</v>
      </c>
    </row>
    <row r="134" spans="1:51" s="13" customFormat="1" ht="20.25" customHeight="1">
      <c r="A134" s="42"/>
      <c r="B134" s="4"/>
      <c r="C134" s="4"/>
      <c r="D134" s="21"/>
      <c r="E134" s="66"/>
      <c r="G134" s="5"/>
      <c r="H134" s="5"/>
      <c r="I134" s="5"/>
      <c r="J134" s="5"/>
      <c r="K134" s="5"/>
      <c r="L134" s="5"/>
      <c r="M134" s="5"/>
      <c r="N134" s="5"/>
      <c r="O134" s="5"/>
      <c r="P134" s="5"/>
      <c r="Q134" s="5"/>
      <c r="R134" s="4"/>
      <c r="S134" s="6"/>
      <c r="T134" s="7"/>
      <c r="U134" s="28"/>
      <c r="V134" s="28"/>
      <c r="W134" s="28"/>
      <c r="X134" s="28"/>
      <c r="Y134" s="30"/>
      <c r="Z134" s="29"/>
      <c r="AA134" s="29"/>
      <c r="AB134" s="29"/>
      <c r="AC134" s="29"/>
      <c r="AD134" s="29"/>
      <c r="AE134" s="29"/>
      <c r="AF134" s="28"/>
      <c r="AG134" s="35"/>
      <c r="AH134" s="5"/>
      <c r="AI134" s="5"/>
      <c r="AJ134" s="5"/>
      <c r="AK134" s="5"/>
      <c r="AL134" s="5"/>
      <c r="AM134" s="5"/>
      <c r="AN134" s="5"/>
      <c r="AO134" s="5"/>
      <c r="AP134" s="5"/>
      <c r="AQ134" s="5"/>
      <c r="AR134" s="5"/>
      <c r="AS134" s="5"/>
      <c r="AT134" s="5"/>
      <c r="AU134" s="5"/>
      <c r="AV134" s="5"/>
      <c r="AW134" s="5"/>
      <c r="AX134" s="11"/>
      <c r="AY134" s="12" t="s">
        <v>121</v>
      </c>
    </row>
    <row r="135" spans="1:51" s="13" customFormat="1" ht="20.25" customHeight="1">
      <c r="A135" s="42"/>
      <c r="B135" s="4"/>
      <c r="C135" s="4"/>
      <c r="D135" s="21"/>
      <c r="E135" s="66"/>
      <c r="G135" s="5"/>
      <c r="H135" s="5"/>
      <c r="I135" s="5"/>
      <c r="J135" s="5"/>
      <c r="K135" s="5"/>
      <c r="L135" s="5"/>
      <c r="M135" s="5"/>
      <c r="N135" s="5"/>
      <c r="O135" s="5"/>
      <c r="P135" s="5"/>
      <c r="Q135" s="5"/>
      <c r="R135" s="4"/>
      <c r="S135" s="6"/>
      <c r="T135" s="7"/>
      <c r="U135" s="28"/>
      <c r="V135" s="28"/>
      <c r="W135" s="28"/>
      <c r="X135" s="28"/>
      <c r="Y135" s="30"/>
      <c r="Z135" s="29"/>
      <c r="AA135" s="29"/>
      <c r="AB135" s="29"/>
      <c r="AC135" s="29"/>
      <c r="AD135" s="29"/>
      <c r="AE135" s="29"/>
      <c r="AF135" s="28"/>
      <c r="AG135" s="35"/>
      <c r="AH135" s="5"/>
      <c r="AI135" s="5"/>
      <c r="AJ135" s="5"/>
      <c r="AK135" s="5"/>
      <c r="AL135" s="5"/>
      <c r="AM135" s="5"/>
      <c r="AN135" s="5"/>
      <c r="AO135" s="5"/>
      <c r="AP135" s="5"/>
      <c r="AQ135" s="5"/>
      <c r="AR135" s="5"/>
      <c r="AS135" s="5"/>
      <c r="AT135" s="5"/>
      <c r="AU135" s="5"/>
      <c r="AV135" s="5"/>
      <c r="AW135" s="5"/>
      <c r="AX135" s="11"/>
      <c r="AY135" s="12" t="s">
        <v>121</v>
      </c>
    </row>
    <row r="136" spans="1:51" s="13" customFormat="1" ht="20.25" customHeight="1">
      <c r="A136" s="42"/>
      <c r="B136" s="4"/>
      <c r="C136" s="4"/>
      <c r="D136" s="21"/>
      <c r="E136" s="66"/>
      <c r="G136" s="5"/>
      <c r="H136" s="5"/>
      <c r="I136" s="5"/>
      <c r="J136" s="5"/>
      <c r="K136" s="5"/>
      <c r="L136" s="5"/>
      <c r="M136" s="5"/>
      <c r="N136" s="5"/>
      <c r="O136" s="5"/>
      <c r="P136" s="5"/>
      <c r="Q136" s="5"/>
      <c r="R136" s="4"/>
      <c r="S136" s="6"/>
      <c r="T136" s="7"/>
      <c r="U136" s="28"/>
      <c r="V136" s="28"/>
      <c r="W136" s="28"/>
      <c r="X136" s="28"/>
      <c r="Y136" s="30"/>
      <c r="Z136" s="29"/>
      <c r="AA136" s="29"/>
      <c r="AB136" s="29"/>
      <c r="AC136" s="29"/>
      <c r="AD136" s="29"/>
      <c r="AE136" s="29"/>
      <c r="AF136" s="28"/>
      <c r="AG136" s="35"/>
      <c r="AH136" s="5"/>
      <c r="AI136" s="5"/>
      <c r="AJ136" s="5"/>
      <c r="AK136" s="5"/>
      <c r="AL136" s="5"/>
      <c r="AM136" s="5"/>
      <c r="AN136" s="5"/>
      <c r="AO136" s="5"/>
      <c r="AP136" s="5"/>
      <c r="AQ136" s="5"/>
      <c r="AR136" s="5"/>
      <c r="AS136" s="5"/>
      <c r="AT136" s="5"/>
      <c r="AU136" s="5"/>
      <c r="AV136" s="5"/>
      <c r="AW136" s="5"/>
      <c r="AX136" s="11"/>
      <c r="AY136" s="12" t="s">
        <v>121</v>
      </c>
    </row>
    <row r="137" spans="1:51" s="13" customFormat="1" ht="20.25" customHeight="1">
      <c r="A137" s="42"/>
      <c r="B137" s="4"/>
      <c r="C137" s="4"/>
      <c r="D137" s="21"/>
      <c r="E137" s="66"/>
      <c r="G137" s="5"/>
      <c r="H137" s="5"/>
      <c r="I137" s="5"/>
      <c r="J137" s="5"/>
      <c r="K137" s="5"/>
      <c r="L137" s="5"/>
      <c r="M137" s="5"/>
      <c r="N137" s="5"/>
      <c r="O137" s="5"/>
      <c r="P137" s="5"/>
      <c r="Q137" s="5"/>
      <c r="R137" s="4"/>
      <c r="S137" s="6"/>
      <c r="T137" s="7"/>
      <c r="U137" s="28"/>
      <c r="V137" s="28"/>
      <c r="W137" s="28"/>
      <c r="X137" s="28"/>
      <c r="Y137" s="30"/>
      <c r="Z137" s="29"/>
      <c r="AA137" s="29"/>
      <c r="AB137" s="29"/>
      <c r="AC137" s="29"/>
      <c r="AD137" s="29"/>
      <c r="AE137" s="29"/>
      <c r="AF137" s="28"/>
      <c r="AG137" s="35"/>
      <c r="AH137" s="5"/>
      <c r="AI137" s="5"/>
      <c r="AJ137" s="5"/>
      <c r="AK137" s="5"/>
      <c r="AL137" s="5"/>
      <c r="AM137" s="5"/>
      <c r="AN137" s="5"/>
      <c r="AO137" s="5"/>
      <c r="AP137" s="5"/>
      <c r="AQ137" s="5"/>
      <c r="AR137" s="5"/>
      <c r="AS137" s="5"/>
      <c r="AT137" s="5"/>
      <c r="AU137" s="5"/>
      <c r="AV137" s="5"/>
      <c r="AW137" s="5"/>
      <c r="AX137" s="11"/>
      <c r="AY137" s="12" t="s">
        <v>121</v>
      </c>
    </row>
    <row r="138" spans="1:51" s="13" customFormat="1" ht="20.25" customHeight="1">
      <c r="A138" s="42"/>
      <c r="B138" s="4"/>
      <c r="C138" s="4"/>
      <c r="D138" s="21"/>
      <c r="E138" s="66"/>
      <c r="G138" s="5"/>
      <c r="H138" s="5"/>
      <c r="I138" s="5"/>
      <c r="J138" s="5"/>
      <c r="K138" s="5"/>
      <c r="L138" s="5"/>
      <c r="M138" s="5"/>
      <c r="N138" s="5"/>
      <c r="O138" s="5"/>
      <c r="P138" s="5"/>
      <c r="Q138" s="5"/>
      <c r="R138" s="4"/>
      <c r="S138" s="6"/>
      <c r="T138" s="7"/>
      <c r="U138" s="28"/>
      <c r="V138" s="28"/>
      <c r="W138" s="28"/>
      <c r="X138" s="28"/>
      <c r="Y138" s="30"/>
      <c r="Z138" s="29"/>
      <c r="AA138" s="29"/>
      <c r="AB138" s="29"/>
      <c r="AC138" s="29"/>
      <c r="AD138" s="29"/>
      <c r="AE138" s="29"/>
      <c r="AF138" s="28"/>
      <c r="AG138" s="35"/>
      <c r="AH138" s="5"/>
      <c r="AI138" s="5"/>
      <c r="AJ138" s="5"/>
      <c r="AK138" s="5"/>
      <c r="AL138" s="5"/>
      <c r="AM138" s="5"/>
      <c r="AN138" s="5"/>
      <c r="AO138" s="5"/>
      <c r="AP138" s="5"/>
      <c r="AQ138" s="5"/>
      <c r="AR138" s="5"/>
      <c r="AS138" s="5"/>
      <c r="AT138" s="5"/>
      <c r="AU138" s="5"/>
      <c r="AV138" s="5"/>
      <c r="AW138" s="5"/>
      <c r="AX138" s="11"/>
      <c r="AY138" s="12" t="s">
        <v>121</v>
      </c>
    </row>
    <row r="139" spans="1:51" s="13" customFormat="1" ht="20.25" customHeight="1">
      <c r="A139" s="42"/>
      <c r="B139" s="4"/>
      <c r="C139" s="4"/>
      <c r="D139" s="21"/>
      <c r="E139" s="66"/>
      <c r="G139" s="5"/>
      <c r="H139" s="5"/>
      <c r="I139" s="5"/>
      <c r="J139" s="5"/>
      <c r="K139" s="5"/>
      <c r="L139" s="5"/>
      <c r="M139" s="5"/>
      <c r="N139" s="5"/>
      <c r="O139" s="5"/>
      <c r="P139" s="5"/>
      <c r="Q139" s="5"/>
      <c r="R139" s="4"/>
      <c r="S139" s="6"/>
      <c r="T139" s="7"/>
      <c r="U139" s="28"/>
      <c r="V139" s="28"/>
      <c r="W139" s="28"/>
      <c r="X139" s="28"/>
      <c r="Y139" s="30"/>
      <c r="Z139" s="29"/>
      <c r="AA139" s="29"/>
      <c r="AB139" s="29"/>
      <c r="AC139" s="29"/>
      <c r="AD139" s="29"/>
      <c r="AE139" s="29"/>
      <c r="AF139" s="28"/>
      <c r="AG139" s="35"/>
      <c r="AH139" s="5"/>
      <c r="AI139" s="5"/>
      <c r="AJ139" s="5"/>
      <c r="AK139" s="5"/>
      <c r="AL139" s="5"/>
      <c r="AM139" s="5"/>
      <c r="AN139" s="5"/>
      <c r="AO139" s="5"/>
      <c r="AP139" s="5"/>
      <c r="AQ139" s="5"/>
      <c r="AR139" s="5"/>
      <c r="AS139" s="5"/>
      <c r="AT139" s="5"/>
      <c r="AU139" s="5"/>
      <c r="AV139" s="5"/>
      <c r="AW139" s="5"/>
      <c r="AX139" s="11"/>
      <c r="AY139" s="12" t="s">
        <v>121</v>
      </c>
    </row>
    <row r="140" spans="1:51" s="13" customFormat="1" ht="20.25" customHeight="1">
      <c r="A140" s="42"/>
      <c r="B140" s="4"/>
      <c r="C140" s="4"/>
      <c r="D140" s="21"/>
      <c r="E140" s="66"/>
      <c r="G140" s="5"/>
      <c r="H140" s="5"/>
      <c r="I140" s="5"/>
      <c r="J140" s="5"/>
      <c r="K140" s="5"/>
      <c r="L140" s="5"/>
      <c r="M140" s="5"/>
      <c r="N140" s="5"/>
      <c r="O140" s="5"/>
      <c r="P140" s="5"/>
      <c r="Q140" s="5"/>
      <c r="R140" s="4"/>
      <c r="S140" s="6"/>
      <c r="T140" s="7"/>
      <c r="U140" s="28"/>
      <c r="V140" s="28"/>
      <c r="W140" s="28"/>
      <c r="X140" s="28"/>
      <c r="Y140" s="30"/>
      <c r="Z140" s="29"/>
      <c r="AA140" s="29"/>
      <c r="AB140" s="29"/>
      <c r="AC140" s="29"/>
      <c r="AD140" s="29"/>
      <c r="AE140" s="29"/>
      <c r="AF140" s="28"/>
      <c r="AG140" s="35"/>
      <c r="AH140" s="5"/>
      <c r="AI140" s="5"/>
      <c r="AJ140" s="5"/>
      <c r="AK140" s="5"/>
      <c r="AL140" s="5"/>
      <c r="AM140" s="5"/>
      <c r="AN140" s="5"/>
      <c r="AO140" s="5"/>
      <c r="AP140" s="5"/>
      <c r="AQ140" s="5"/>
      <c r="AR140" s="5"/>
      <c r="AS140" s="5"/>
      <c r="AT140" s="5"/>
      <c r="AU140" s="5"/>
      <c r="AV140" s="5"/>
      <c r="AW140" s="5"/>
      <c r="AX140" s="11"/>
      <c r="AY140" s="12" t="s">
        <v>121</v>
      </c>
    </row>
    <row r="141" spans="1:51" s="13" customFormat="1" ht="20.25" customHeight="1">
      <c r="A141" s="42"/>
      <c r="B141" s="4"/>
      <c r="C141" s="4"/>
      <c r="D141" s="21"/>
      <c r="E141" s="66"/>
      <c r="G141" s="5"/>
      <c r="H141" s="5"/>
      <c r="I141" s="5"/>
      <c r="J141" s="5"/>
      <c r="K141" s="5"/>
      <c r="L141" s="5"/>
      <c r="M141" s="5"/>
      <c r="N141" s="5"/>
      <c r="O141" s="5"/>
      <c r="P141" s="5"/>
      <c r="Q141" s="5"/>
      <c r="R141" s="4"/>
      <c r="S141" s="6"/>
      <c r="T141" s="6"/>
      <c r="U141" s="28"/>
      <c r="V141" s="28"/>
      <c r="W141" s="28"/>
      <c r="X141" s="28"/>
      <c r="Y141" s="33"/>
      <c r="Z141" s="29"/>
      <c r="AA141" s="29"/>
      <c r="AB141" s="29"/>
      <c r="AC141" s="29"/>
      <c r="AD141" s="29"/>
      <c r="AE141" s="29"/>
      <c r="AF141" s="28"/>
      <c r="AG141" s="35"/>
      <c r="AH141" s="5"/>
      <c r="AI141" s="5"/>
      <c r="AJ141" s="5"/>
      <c r="AK141" s="5"/>
      <c r="AL141" s="5"/>
      <c r="AM141" s="5"/>
      <c r="AN141" s="5"/>
      <c r="AO141" s="5"/>
      <c r="AP141" s="5"/>
      <c r="AQ141" s="5"/>
      <c r="AR141" s="5"/>
      <c r="AS141" s="5"/>
      <c r="AT141" s="5"/>
      <c r="AU141" s="5"/>
      <c r="AV141" s="5"/>
      <c r="AW141" s="5"/>
      <c r="AX141" s="11"/>
      <c r="AY141" s="12" t="s">
        <v>121</v>
      </c>
    </row>
    <row r="142" spans="1:51" s="13" customFormat="1" ht="20.25" customHeight="1">
      <c r="A142" s="42"/>
      <c r="B142" s="4"/>
      <c r="C142" s="4"/>
      <c r="D142" s="21"/>
      <c r="E142" s="66"/>
      <c r="G142" s="5"/>
      <c r="H142" s="5"/>
      <c r="I142" s="5"/>
      <c r="J142" s="5"/>
      <c r="K142" s="5"/>
      <c r="L142" s="5"/>
      <c r="M142" s="5"/>
      <c r="N142" s="5"/>
      <c r="O142" s="5"/>
      <c r="P142" s="5"/>
      <c r="Q142" s="5"/>
      <c r="R142" s="4"/>
      <c r="S142" s="6"/>
      <c r="T142" s="6"/>
      <c r="U142" s="28"/>
      <c r="V142" s="28"/>
      <c r="W142" s="28"/>
      <c r="X142" s="28"/>
      <c r="Y142" s="33"/>
      <c r="Z142" s="29"/>
      <c r="AA142" s="29"/>
      <c r="AB142" s="29"/>
      <c r="AC142" s="29"/>
      <c r="AD142" s="29"/>
      <c r="AE142" s="29"/>
      <c r="AF142" s="28"/>
      <c r="AG142" s="35"/>
      <c r="AH142" s="5"/>
      <c r="AI142" s="5"/>
      <c r="AJ142" s="5"/>
      <c r="AK142" s="5"/>
      <c r="AL142" s="5"/>
      <c r="AM142" s="5"/>
      <c r="AN142" s="5"/>
      <c r="AO142" s="5"/>
      <c r="AP142" s="5"/>
      <c r="AQ142" s="5"/>
      <c r="AR142" s="5"/>
      <c r="AS142" s="5"/>
      <c r="AT142" s="5"/>
      <c r="AU142" s="5"/>
      <c r="AV142" s="5"/>
      <c r="AW142" s="5"/>
      <c r="AX142" s="11"/>
      <c r="AY142" s="12" t="s">
        <v>121</v>
      </c>
    </row>
    <row r="143" spans="1:51" s="13" customFormat="1" ht="20.25" customHeight="1">
      <c r="A143" s="42"/>
      <c r="B143" s="4"/>
      <c r="C143" s="4"/>
      <c r="D143" s="21"/>
      <c r="E143" s="66"/>
      <c r="G143" s="5"/>
      <c r="H143" s="5"/>
      <c r="I143" s="5"/>
      <c r="J143" s="5"/>
      <c r="K143" s="5"/>
      <c r="L143" s="5"/>
      <c r="M143" s="5"/>
      <c r="N143" s="5"/>
      <c r="O143" s="5"/>
      <c r="P143" s="5"/>
      <c r="Q143" s="5"/>
      <c r="R143" s="4"/>
      <c r="S143" s="6"/>
      <c r="T143" s="6"/>
      <c r="U143" s="28"/>
      <c r="V143" s="28"/>
      <c r="W143" s="28"/>
      <c r="X143" s="28"/>
      <c r="Y143" s="33"/>
      <c r="Z143" s="29"/>
      <c r="AA143" s="29"/>
      <c r="AB143" s="29"/>
      <c r="AC143" s="29"/>
      <c r="AD143" s="29"/>
      <c r="AE143" s="29"/>
      <c r="AF143" s="28"/>
      <c r="AG143" s="35"/>
      <c r="AH143" s="5"/>
      <c r="AI143" s="5"/>
      <c r="AJ143" s="5"/>
      <c r="AK143" s="5"/>
      <c r="AL143" s="5"/>
      <c r="AM143" s="5"/>
      <c r="AN143" s="5"/>
      <c r="AO143" s="5"/>
      <c r="AP143" s="5"/>
      <c r="AQ143" s="5"/>
      <c r="AR143" s="5"/>
      <c r="AS143" s="5"/>
      <c r="AT143" s="5"/>
      <c r="AU143" s="5"/>
      <c r="AV143" s="5"/>
      <c r="AW143" s="5"/>
      <c r="AX143" s="11"/>
      <c r="AY143" s="12" t="s">
        <v>121</v>
      </c>
    </row>
    <row r="144" spans="1:51" ht="20.25" customHeight="1">
      <c r="A144" s="42"/>
      <c r="B144" s="4"/>
      <c r="C144" s="4"/>
      <c r="D144" s="21"/>
      <c r="G144" s="5"/>
      <c r="H144" s="5"/>
      <c r="I144" s="5"/>
      <c r="J144" s="5"/>
      <c r="K144" s="5"/>
      <c r="L144" s="5"/>
      <c r="M144" s="5"/>
      <c r="N144" s="5"/>
      <c r="O144" s="5"/>
      <c r="P144" s="5"/>
      <c r="Q144" s="5"/>
      <c r="R144" s="4"/>
      <c r="S144" s="6"/>
      <c r="T144" s="6"/>
      <c r="U144" s="28"/>
      <c r="V144" s="28"/>
      <c r="W144" s="28"/>
      <c r="X144" s="28"/>
      <c r="Y144" s="33"/>
      <c r="Z144" s="29"/>
      <c r="AA144" s="29"/>
      <c r="AB144" s="29"/>
      <c r="AC144" s="29"/>
      <c r="AD144" s="29"/>
      <c r="AE144" s="29"/>
      <c r="AF144" s="28"/>
      <c r="AG144" s="35"/>
      <c r="AH144" s="5"/>
      <c r="AI144" s="5"/>
      <c r="AJ144" s="5"/>
      <c r="AK144" s="5"/>
      <c r="AL144" s="5"/>
      <c r="AM144" s="5"/>
      <c r="AN144" s="5"/>
      <c r="AO144" s="5"/>
      <c r="AP144" s="5"/>
      <c r="AQ144" s="5"/>
      <c r="AR144" s="5"/>
      <c r="AS144" s="5"/>
      <c r="AT144" s="5"/>
      <c r="AU144" s="5"/>
      <c r="AV144" s="5"/>
      <c r="AW144" s="5"/>
      <c r="AX144" s="11"/>
      <c r="AY144" s="12" t="s">
        <v>121</v>
      </c>
    </row>
    <row r="145" spans="1:51" ht="20.25" customHeight="1">
      <c r="A145" s="42"/>
      <c r="B145" s="4"/>
      <c r="C145" s="4"/>
      <c r="D145" s="21"/>
      <c r="G145" s="5"/>
      <c r="H145" s="5"/>
      <c r="I145" s="5"/>
      <c r="J145" s="5"/>
      <c r="K145" s="5"/>
      <c r="L145" s="5"/>
      <c r="M145" s="5"/>
      <c r="N145" s="5"/>
      <c r="O145" s="5"/>
      <c r="P145" s="5"/>
      <c r="Q145" s="5"/>
      <c r="R145" s="4"/>
      <c r="S145" s="6"/>
      <c r="T145" s="6"/>
      <c r="U145" s="28"/>
      <c r="V145" s="28"/>
      <c r="W145" s="28"/>
      <c r="X145" s="28"/>
      <c r="Y145" s="33"/>
      <c r="Z145" s="29"/>
      <c r="AA145" s="29"/>
      <c r="AB145" s="29"/>
      <c r="AC145" s="29"/>
      <c r="AD145" s="29"/>
      <c r="AE145" s="29"/>
      <c r="AF145" s="28"/>
      <c r="AG145" s="35"/>
      <c r="AH145" s="5"/>
      <c r="AI145" s="5"/>
      <c r="AJ145" s="5"/>
      <c r="AK145" s="5"/>
      <c r="AL145" s="5"/>
      <c r="AM145" s="5"/>
      <c r="AN145" s="5"/>
      <c r="AO145" s="5"/>
      <c r="AP145" s="5"/>
      <c r="AQ145" s="5"/>
      <c r="AR145" s="5"/>
      <c r="AS145" s="5"/>
      <c r="AT145" s="5"/>
      <c r="AU145" s="5"/>
      <c r="AV145" s="5"/>
      <c r="AW145" s="5"/>
      <c r="AX145" s="11"/>
      <c r="AY145" s="12" t="s">
        <v>121</v>
      </c>
    </row>
    <row r="146" spans="1:51" ht="20.25" customHeight="1">
      <c r="A146" s="42"/>
      <c r="B146" s="4"/>
      <c r="C146" s="4"/>
      <c r="D146" s="21"/>
      <c r="G146" s="5"/>
      <c r="H146" s="5"/>
      <c r="I146" s="5"/>
      <c r="J146" s="5"/>
      <c r="K146" s="5"/>
      <c r="L146" s="5"/>
      <c r="M146" s="5"/>
      <c r="N146" s="5"/>
      <c r="O146" s="5"/>
      <c r="P146" s="5"/>
      <c r="Q146" s="5"/>
      <c r="R146" s="4"/>
      <c r="S146" s="6"/>
      <c r="T146" s="6"/>
      <c r="U146" s="28"/>
      <c r="V146" s="28"/>
      <c r="W146" s="28"/>
      <c r="X146" s="28"/>
      <c r="Y146" s="33"/>
      <c r="Z146" s="29"/>
      <c r="AA146" s="29"/>
      <c r="AB146" s="29"/>
      <c r="AC146" s="29"/>
      <c r="AD146" s="29"/>
      <c r="AE146" s="29"/>
      <c r="AF146" s="28"/>
      <c r="AG146" s="35"/>
      <c r="AH146" s="5"/>
      <c r="AI146" s="5"/>
      <c r="AJ146" s="5"/>
      <c r="AK146" s="5"/>
      <c r="AL146" s="5"/>
      <c r="AM146" s="5"/>
      <c r="AN146" s="5"/>
      <c r="AO146" s="5"/>
      <c r="AP146" s="5"/>
      <c r="AQ146" s="5"/>
      <c r="AR146" s="5"/>
      <c r="AS146" s="5"/>
      <c r="AT146" s="5"/>
      <c r="AU146" s="5"/>
      <c r="AV146" s="5"/>
      <c r="AW146" s="5"/>
      <c r="AX146" s="11"/>
      <c r="AY146" s="12" t="s">
        <v>121</v>
      </c>
    </row>
    <row r="147" spans="1:51" ht="20.25" customHeight="1">
      <c r="A147" s="42"/>
      <c r="B147" s="4"/>
      <c r="C147" s="4"/>
      <c r="D147" s="21"/>
      <c r="G147" s="5"/>
      <c r="H147" s="5"/>
      <c r="I147" s="5"/>
      <c r="J147" s="5"/>
      <c r="K147" s="5"/>
      <c r="L147" s="5"/>
      <c r="M147" s="5"/>
      <c r="N147" s="5"/>
      <c r="O147" s="5"/>
      <c r="P147" s="5"/>
      <c r="Q147" s="5"/>
      <c r="R147" s="4"/>
      <c r="S147" s="6"/>
      <c r="T147" s="6"/>
      <c r="U147" s="28"/>
      <c r="V147" s="28"/>
      <c r="W147" s="28"/>
      <c r="X147" s="28"/>
      <c r="Y147" s="33"/>
      <c r="Z147" s="29"/>
      <c r="AA147" s="29"/>
      <c r="AB147" s="29"/>
      <c r="AC147" s="29"/>
      <c r="AD147" s="29"/>
      <c r="AE147" s="29"/>
      <c r="AF147" s="28"/>
      <c r="AG147" s="35"/>
      <c r="AH147" s="5"/>
      <c r="AI147" s="5"/>
      <c r="AJ147" s="5"/>
      <c r="AK147" s="5"/>
      <c r="AL147" s="5"/>
      <c r="AM147" s="5"/>
      <c r="AN147" s="5"/>
      <c r="AO147" s="5"/>
      <c r="AP147" s="5"/>
      <c r="AQ147" s="5"/>
      <c r="AR147" s="5"/>
      <c r="AS147" s="5"/>
      <c r="AT147" s="5"/>
      <c r="AU147" s="5"/>
      <c r="AV147" s="5"/>
      <c r="AW147" s="5"/>
      <c r="AX147" s="11"/>
      <c r="AY147" s="12" t="s">
        <v>121</v>
      </c>
    </row>
    <row r="148" spans="1:51" ht="20.25" customHeight="1">
      <c r="A148" s="42"/>
      <c r="B148" s="4"/>
      <c r="C148" s="4"/>
      <c r="D148" s="21"/>
      <c r="G148" s="5"/>
      <c r="H148" s="5"/>
      <c r="I148" s="5"/>
      <c r="J148" s="5"/>
      <c r="K148" s="5"/>
      <c r="L148" s="5"/>
      <c r="M148" s="5"/>
      <c r="N148" s="5"/>
      <c r="O148" s="5"/>
      <c r="P148" s="5"/>
      <c r="Q148" s="5"/>
      <c r="R148" s="4"/>
      <c r="S148" s="6"/>
      <c r="T148" s="6"/>
      <c r="U148" s="28"/>
      <c r="V148" s="28"/>
      <c r="W148" s="28"/>
      <c r="X148" s="28"/>
      <c r="Y148" s="33"/>
      <c r="Z148" s="29"/>
      <c r="AA148" s="29"/>
      <c r="AB148" s="29"/>
      <c r="AC148" s="29"/>
      <c r="AD148" s="29"/>
      <c r="AE148" s="29"/>
      <c r="AF148" s="28"/>
      <c r="AG148" s="35"/>
      <c r="AH148" s="5"/>
      <c r="AI148" s="5"/>
      <c r="AJ148" s="5"/>
      <c r="AK148" s="5"/>
      <c r="AL148" s="5"/>
      <c r="AM148" s="5"/>
      <c r="AN148" s="5"/>
      <c r="AO148" s="5"/>
      <c r="AP148" s="5"/>
      <c r="AQ148" s="5"/>
      <c r="AR148" s="5"/>
      <c r="AS148" s="5"/>
      <c r="AT148" s="5"/>
      <c r="AU148" s="5"/>
      <c r="AV148" s="5"/>
      <c r="AW148" s="5"/>
      <c r="AX148" s="11"/>
      <c r="AY148" s="12" t="s">
        <v>121</v>
      </c>
    </row>
    <row r="149" spans="1:51" ht="20.25" customHeight="1">
      <c r="A149" s="42"/>
      <c r="B149" s="4"/>
      <c r="C149" s="4"/>
      <c r="D149" s="21"/>
      <c r="G149" s="5"/>
      <c r="H149" s="5"/>
      <c r="I149" s="5"/>
      <c r="J149" s="5"/>
      <c r="K149" s="5"/>
      <c r="L149" s="5"/>
      <c r="M149" s="5"/>
      <c r="N149" s="5"/>
      <c r="O149" s="5"/>
      <c r="P149" s="5"/>
      <c r="Q149" s="5"/>
      <c r="R149" s="4"/>
      <c r="S149" s="6"/>
      <c r="T149" s="6"/>
      <c r="U149" s="28"/>
      <c r="V149" s="28"/>
      <c r="W149" s="28"/>
      <c r="X149" s="28"/>
      <c r="Y149" s="33"/>
      <c r="Z149" s="29"/>
      <c r="AA149" s="29"/>
      <c r="AB149" s="29"/>
      <c r="AC149" s="29"/>
      <c r="AD149" s="29"/>
      <c r="AE149" s="29"/>
      <c r="AF149" s="28"/>
      <c r="AG149" s="35"/>
      <c r="AH149" s="5"/>
      <c r="AI149" s="5"/>
      <c r="AJ149" s="5"/>
      <c r="AK149" s="5"/>
      <c r="AL149" s="5"/>
      <c r="AM149" s="5"/>
      <c r="AN149" s="5"/>
      <c r="AO149" s="5"/>
      <c r="AP149" s="5"/>
      <c r="AQ149" s="5"/>
      <c r="AR149" s="5"/>
      <c r="AS149" s="5"/>
      <c r="AT149" s="5"/>
      <c r="AU149" s="5"/>
      <c r="AV149" s="5"/>
      <c r="AW149" s="5"/>
      <c r="AX149" s="11"/>
      <c r="AY149" s="12" t="s">
        <v>121</v>
      </c>
    </row>
    <row r="150" spans="1:51" ht="20.25" customHeight="1">
      <c r="A150" s="42"/>
      <c r="B150" s="4"/>
      <c r="C150" s="4"/>
      <c r="D150" s="21"/>
      <c r="G150" s="5"/>
      <c r="H150" s="5"/>
      <c r="I150" s="5"/>
      <c r="J150" s="5"/>
      <c r="K150" s="5"/>
      <c r="L150" s="5"/>
      <c r="M150" s="5"/>
      <c r="N150" s="5"/>
      <c r="O150" s="5"/>
      <c r="P150" s="5"/>
      <c r="Q150" s="5"/>
      <c r="R150" s="4"/>
      <c r="S150" s="6"/>
      <c r="T150" s="6"/>
      <c r="U150" s="28"/>
      <c r="V150" s="28"/>
      <c r="W150" s="28"/>
      <c r="X150" s="28"/>
      <c r="Y150" s="33"/>
      <c r="Z150" s="29"/>
      <c r="AA150" s="29"/>
      <c r="AB150" s="29"/>
      <c r="AC150" s="29"/>
      <c r="AD150" s="29"/>
      <c r="AE150" s="29"/>
      <c r="AF150" s="28"/>
      <c r="AG150" s="35"/>
      <c r="AH150" s="5"/>
      <c r="AI150" s="5"/>
      <c r="AJ150" s="5"/>
      <c r="AK150" s="5"/>
      <c r="AL150" s="5"/>
      <c r="AM150" s="5"/>
      <c r="AN150" s="5"/>
      <c r="AO150" s="5"/>
      <c r="AP150" s="5"/>
      <c r="AQ150" s="5"/>
      <c r="AR150" s="5"/>
      <c r="AS150" s="5"/>
      <c r="AT150" s="5"/>
      <c r="AU150" s="5"/>
      <c r="AV150" s="5"/>
      <c r="AW150" s="5"/>
      <c r="AX150" s="11"/>
      <c r="AY150" s="12" t="s">
        <v>121</v>
      </c>
    </row>
    <row r="151" spans="1:51" ht="20.25" customHeight="1">
      <c r="A151" s="42"/>
      <c r="B151" s="4"/>
      <c r="C151" s="4"/>
      <c r="D151" s="21"/>
      <c r="G151" s="5"/>
      <c r="H151" s="5"/>
      <c r="I151" s="5"/>
      <c r="J151" s="5"/>
      <c r="K151" s="5"/>
      <c r="L151" s="5"/>
      <c r="M151" s="5"/>
      <c r="N151" s="5"/>
      <c r="O151" s="5"/>
      <c r="P151" s="5"/>
      <c r="Q151" s="5"/>
      <c r="R151" s="4"/>
      <c r="S151" s="6"/>
      <c r="T151" s="6"/>
      <c r="U151" s="28"/>
      <c r="V151" s="28"/>
      <c r="W151" s="28"/>
      <c r="X151" s="28"/>
      <c r="Y151" s="33"/>
      <c r="Z151" s="29"/>
      <c r="AA151" s="29"/>
      <c r="AB151" s="29"/>
      <c r="AC151" s="29"/>
      <c r="AD151" s="29"/>
      <c r="AE151" s="29"/>
      <c r="AF151" s="28"/>
      <c r="AG151" s="35"/>
      <c r="AH151" s="5"/>
      <c r="AI151" s="5"/>
      <c r="AJ151" s="5"/>
      <c r="AK151" s="5"/>
      <c r="AL151" s="5"/>
      <c r="AM151" s="5"/>
      <c r="AN151" s="5"/>
      <c r="AO151" s="5"/>
      <c r="AP151" s="5"/>
      <c r="AQ151" s="5"/>
      <c r="AR151" s="5"/>
      <c r="AS151" s="5"/>
      <c r="AT151" s="5"/>
      <c r="AU151" s="5"/>
      <c r="AV151" s="5"/>
      <c r="AW151" s="5"/>
      <c r="AX151" s="11"/>
      <c r="AY151" s="12" t="s">
        <v>121</v>
      </c>
    </row>
    <row r="152" spans="1:51" ht="20.25" customHeight="1">
      <c r="A152" s="42"/>
      <c r="B152" s="4"/>
      <c r="C152" s="4"/>
      <c r="D152" s="21"/>
      <c r="G152" s="5"/>
      <c r="H152" s="5"/>
      <c r="I152" s="5"/>
      <c r="J152" s="5"/>
      <c r="K152" s="5"/>
      <c r="L152" s="5"/>
      <c r="M152" s="5"/>
      <c r="N152" s="5"/>
      <c r="O152" s="5"/>
      <c r="P152" s="5"/>
      <c r="Q152" s="5"/>
      <c r="R152" s="4"/>
      <c r="S152" s="6"/>
      <c r="T152" s="6"/>
      <c r="U152" s="28"/>
      <c r="V152" s="28"/>
      <c r="W152" s="28"/>
      <c r="X152" s="28"/>
      <c r="Y152" s="33"/>
      <c r="Z152" s="29"/>
      <c r="AA152" s="29"/>
      <c r="AB152" s="29"/>
      <c r="AC152" s="29"/>
      <c r="AD152" s="29"/>
      <c r="AE152" s="29"/>
      <c r="AF152" s="28"/>
      <c r="AG152" s="35"/>
      <c r="AH152" s="5"/>
      <c r="AI152" s="5"/>
      <c r="AJ152" s="5"/>
      <c r="AK152" s="5"/>
      <c r="AL152" s="5"/>
      <c r="AM152" s="5"/>
      <c r="AN152" s="5"/>
      <c r="AO152" s="5"/>
      <c r="AP152" s="5"/>
      <c r="AQ152" s="5"/>
      <c r="AR152" s="5"/>
      <c r="AS152" s="5"/>
      <c r="AT152" s="5"/>
      <c r="AU152" s="5"/>
      <c r="AV152" s="5"/>
      <c r="AW152" s="5"/>
      <c r="AX152" s="11"/>
      <c r="AY152" s="12" t="s">
        <v>121</v>
      </c>
    </row>
    <row r="153" spans="1:51" ht="20.25" customHeight="1">
      <c r="A153" s="42"/>
      <c r="B153" s="4"/>
      <c r="C153" s="4"/>
      <c r="D153" s="21"/>
      <c r="G153" s="5"/>
      <c r="H153" s="5"/>
      <c r="I153" s="5"/>
      <c r="J153" s="5"/>
      <c r="K153" s="5"/>
      <c r="L153" s="5"/>
      <c r="M153" s="5"/>
      <c r="N153" s="5"/>
      <c r="O153" s="5"/>
      <c r="P153" s="5"/>
      <c r="Q153" s="5"/>
      <c r="R153" s="4"/>
      <c r="S153" s="6"/>
      <c r="T153" s="6"/>
      <c r="U153" s="28"/>
      <c r="V153" s="28"/>
      <c r="W153" s="28"/>
      <c r="X153" s="28"/>
      <c r="Y153" s="33"/>
      <c r="Z153" s="29"/>
      <c r="AA153" s="29"/>
      <c r="AB153" s="29"/>
      <c r="AC153" s="29"/>
      <c r="AD153" s="29"/>
      <c r="AE153" s="29"/>
      <c r="AF153" s="28"/>
      <c r="AG153" s="35"/>
      <c r="AH153" s="5"/>
      <c r="AI153" s="5"/>
      <c r="AJ153" s="5"/>
      <c r="AK153" s="5"/>
      <c r="AL153" s="5"/>
      <c r="AM153" s="5"/>
      <c r="AN153" s="5"/>
      <c r="AO153" s="5"/>
      <c r="AP153" s="5"/>
      <c r="AQ153" s="5"/>
      <c r="AR153" s="5"/>
      <c r="AS153" s="5"/>
      <c r="AT153" s="5"/>
      <c r="AU153" s="5"/>
      <c r="AV153" s="5"/>
      <c r="AW153" s="5"/>
      <c r="AX153" s="11"/>
      <c r="AY153" s="12" t="s">
        <v>121</v>
      </c>
    </row>
    <row r="154" spans="1:51" ht="20.25" customHeight="1">
      <c r="A154" s="42"/>
      <c r="B154" s="4"/>
      <c r="C154" s="4"/>
      <c r="G154" s="5"/>
      <c r="H154" s="5"/>
      <c r="I154" s="5"/>
      <c r="J154" s="5"/>
      <c r="K154" s="5"/>
      <c r="L154" s="5"/>
      <c r="M154" s="5"/>
      <c r="N154" s="5"/>
      <c r="O154" s="5"/>
      <c r="P154" s="5"/>
      <c r="Q154" s="5"/>
      <c r="R154" s="4"/>
      <c r="S154" s="6"/>
      <c r="T154" s="6"/>
      <c r="U154" s="28"/>
      <c r="V154" s="28"/>
      <c r="W154" s="28"/>
      <c r="X154" s="28"/>
      <c r="Y154" s="33"/>
      <c r="Z154" s="29"/>
      <c r="AA154" s="29"/>
      <c r="AB154" s="29"/>
      <c r="AC154" s="29"/>
      <c r="AD154" s="29"/>
      <c r="AE154" s="29"/>
    </row>
    <row r="155" spans="1:51" ht="20.25" customHeight="1">
      <c r="A155" s="42"/>
      <c r="B155" s="4"/>
      <c r="C155" s="4"/>
      <c r="G155" s="5"/>
      <c r="H155" s="5"/>
      <c r="I155" s="5"/>
      <c r="J155" s="5"/>
      <c r="K155" s="5"/>
      <c r="L155" s="5"/>
      <c r="M155" s="5"/>
      <c r="N155" s="5"/>
      <c r="O155" s="5"/>
      <c r="P155" s="5"/>
      <c r="Q155" s="5"/>
      <c r="R155" s="4"/>
      <c r="S155" s="6"/>
      <c r="T155" s="6"/>
      <c r="U155" s="28"/>
      <c r="V155" s="28"/>
      <c r="W155" s="28"/>
      <c r="X155" s="28"/>
      <c r="Y155" s="33"/>
      <c r="Z155" s="29"/>
      <c r="AA155" s="29"/>
      <c r="AB155" s="29"/>
      <c r="AC155" s="29"/>
      <c r="AD155" s="29"/>
      <c r="AE155" s="29"/>
    </row>
    <row r="156" spans="1:51" ht="20.25" customHeight="1">
      <c r="A156" s="42"/>
      <c r="B156" s="4"/>
      <c r="C156" s="4"/>
      <c r="G156" s="5"/>
      <c r="H156" s="5"/>
      <c r="I156" s="5"/>
      <c r="J156" s="5"/>
      <c r="K156" s="5"/>
      <c r="L156" s="5"/>
      <c r="M156" s="5"/>
      <c r="N156" s="5"/>
      <c r="O156" s="5"/>
      <c r="P156" s="5"/>
      <c r="Q156" s="5"/>
      <c r="R156" s="4"/>
      <c r="S156" s="6"/>
      <c r="T156" s="6"/>
      <c r="U156" s="28"/>
      <c r="V156" s="28"/>
      <c r="W156" s="28"/>
      <c r="X156" s="28"/>
      <c r="Y156" s="33"/>
      <c r="Z156" s="29"/>
      <c r="AA156" s="29"/>
      <c r="AB156" s="29"/>
      <c r="AC156" s="29"/>
      <c r="AD156" s="29"/>
      <c r="AE156" s="29"/>
    </row>
    <row r="157" spans="1:51" ht="20.25" customHeight="1">
      <c r="A157" s="42"/>
      <c r="B157" s="4"/>
      <c r="C157" s="4"/>
      <c r="G157" s="5"/>
      <c r="H157" s="5"/>
      <c r="I157" s="5"/>
      <c r="J157" s="5"/>
      <c r="K157" s="5"/>
      <c r="L157" s="5"/>
      <c r="M157" s="5"/>
      <c r="N157" s="5"/>
      <c r="O157" s="5"/>
      <c r="P157" s="5"/>
      <c r="Q157" s="5"/>
      <c r="R157" s="4"/>
      <c r="S157" s="6"/>
      <c r="T157" s="6"/>
      <c r="U157" s="28"/>
      <c r="V157" s="28"/>
      <c r="W157" s="28"/>
      <c r="X157" s="28"/>
      <c r="Y157" s="33"/>
      <c r="Z157" s="29"/>
      <c r="AA157" s="29"/>
      <c r="AB157" s="29"/>
      <c r="AC157" s="29"/>
      <c r="AD157" s="29"/>
      <c r="AE157" s="29"/>
    </row>
    <row r="158" spans="1:51" ht="20.25" customHeight="1">
      <c r="A158" s="42"/>
      <c r="B158" s="4"/>
      <c r="C158" s="4"/>
      <c r="G158" s="5"/>
      <c r="H158" s="5"/>
      <c r="I158" s="5"/>
      <c r="J158" s="5"/>
      <c r="K158" s="5"/>
      <c r="L158" s="5"/>
      <c r="M158" s="5"/>
      <c r="N158" s="5"/>
      <c r="O158" s="5"/>
      <c r="P158" s="5"/>
      <c r="Q158" s="5"/>
      <c r="R158" s="4"/>
      <c r="S158" s="6"/>
      <c r="T158" s="6"/>
      <c r="U158" s="28"/>
      <c r="V158" s="28"/>
      <c r="W158" s="28"/>
      <c r="X158" s="28"/>
      <c r="Y158" s="33"/>
      <c r="Z158" s="29"/>
      <c r="AA158" s="29"/>
      <c r="AB158" s="29"/>
      <c r="AC158" s="29"/>
      <c r="AD158" s="29"/>
      <c r="AE158" s="29"/>
    </row>
    <row r="159" spans="1:51" ht="20.25" customHeight="1">
      <c r="A159" s="42"/>
      <c r="B159" s="4"/>
      <c r="C159" s="4"/>
      <c r="G159" s="5"/>
      <c r="H159" s="5"/>
      <c r="I159" s="5"/>
      <c r="J159" s="5"/>
      <c r="K159" s="5"/>
      <c r="L159" s="5"/>
      <c r="M159" s="5"/>
      <c r="N159" s="5"/>
      <c r="O159" s="5"/>
      <c r="P159" s="5"/>
      <c r="Q159" s="5"/>
      <c r="R159" s="4"/>
      <c r="S159" s="6"/>
      <c r="T159" s="6"/>
      <c r="U159" s="28"/>
      <c r="V159" s="28"/>
      <c r="W159" s="28"/>
      <c r="X159" s="28"/>
      <c r="Y159" s="33"/>
      <c r="Z159" s="29"/>
      <c r="AA159" s="29"/>
      <c r="AB159" s="29"/>
      <c r="AC159" s="29"/>
      <c r="AD159" s="29"/>
      <c r="AE159" s="29"/>
    </row>
    <row r="160" spans="1:51" ht="20.25" customHeight="1">
      <c r="A160" s="42"/>
      <c r="B160" s="4"/>
      <c r="C160" s="4"/>
      <c r="G160" s="5"/>
      <c r="H160" s="5"/>
      <c r="I160" s="5"/>
      <c r="J160" s="5"/>
      <c r="K160" s="5"/>
      <c r="L160" s="5"/>
      <c r="M160" s="5"/>
      <c r="N160" s="5"/>
      <c r="O160" s="5"/>
      <c r="P160" s="5"/>
      <c r="Q160" s="5"/>
      <c r="R160" s="4"/>
      <c r="S160" s="6"/>
      <c r="T160" s="6"/>
      <c r="U160" s="28"/>
      <c r="V160" s="28"/>
      <c r="W160" s="28"/>
      <c r="X160" s="28"/>
      <c r="Y160" s="33"/>
      <c r="Z160" s="29"/>
      <c r="AA160" s="29"/>
      <c r="AB160" s="29"/>
      <c r="AC160" s="29"/>
      <c r="AD160" s="29"/>
      <c r="AE160" s="29"/>
    </row>
    <row r="161" spans="1:31" ht="20.25" customHeight="1">
      <c r="A161" s="42"/>
      <c r="B161" s="4"/>
      <c r="C161" s="4"/>
      <c r="G161" s="5"/>
      <c r="H161" s="5"/>
      <c r="I161" s="5"/>
      <c r="J161" s="5"/>
      <c r="K161" s="5"/>
      <c r="L161" s="5"/>
      <c r="M161" s="5"/>
      <c r="N161" s="5"/>
      <c r="O161" s="5"/>
      <c r="P161" s="5"/>
      <c r="Q161" s="5"/>
      <c r="R161" s="4"/>
      <c r="S161" s="6"/>
      <c r="T161" s="6"/>
      <c r="U161" s="28"/>
      <c r="V161" s="28"/>
      <c r="W161" s="28"/>
      <c r="X161" s="28"/>
      <c r="Y161" s="33"/>
      <c r="Z161" s="29"/>
      <c r="AA161" s="29"/>
      <c r="AB161" s="29"/>
      <c r="AC161" s="29"/>
      <c r="AD161" s="29"/>
      <c r="AE161" s="29"/>
    </row>
    <row r="162" spans="1:31" ht="20.25" customHeight="1">
      <c r="A162" s="42"/>
      <c r="B162" s="4"/>
      <c r="C162" s="4"/>
      <c r="G162" s="5"/>
      <c r="H162" s="5"/>
      <c r="I162" s="5"/>
      <c r="J162" s="5"/>
      <c r="K162" s="5"/>
      <c r="L162" s="5"/>
      <c r="M162" s="5"/>
      <c r="N162" s="5"/>
      <c r="O162" s="5"/>
      <c r="P162" s="5"/>
      <c r="Q162" s="5"/>
      <c r="R162" s="4"/>
      <c r="S162" s="6"/>
      <c r="T162" s="6"/>
      <c r="U162" s="28"/>
      <c r="V162" s="28"/>
      <c r="W162" s="28"/>
      <c r="X162" s="28"/>
      <c r="Y162" s="33"/>
      <c r="Z162" s="29"/>
      <c r="AA162" s="29"/>
      <c r="AB162" s="29"/>
      <c r="AC162" s="29"/>
      <c r="AD162" s="29"/>
      <c r="AE162" s="29"/>
    </row>
    <row r="163" spans="1:31" ht="20.25" customHeight="1">
      <c r="A163" s="42"/>
      <c r="B163" s="4"/>
      <c r="C163" s="4"/>
      <c r="G163" s="5"/>
      <c r="H163" s="5"/>
      <c r="I163" s="5"/>
      <c r="J163" s="5"/>
      <c r="K163" s="5"/>
      <c r="L163" s="5"/>
      <c r="M163" s="5"/>
      <c r="N163" s="5"/>
      <c r="O163" s="5"/>
      <c r="P163" s="5"/>
      <c r="Q163" s="5"/>
      <c r="R163" s="4"/>
      <c r="S163" s="6"/>
      <c r="T163" s="6"/>
      <c r="U163" s="28"/>
      <c r="V163" s="28"/>
      <c r="W163" s="28"/>
      <c r="X163" s="28"/>
      <c r="Y163" s="33"/>
      <c r="Z163" s="29"/>
      <c r="AA163" s="29"/>
      <c r="AB163" s="29"/>
      <c r="AC163" s="29"/>
      <c r="AD163" s="29"/>
      <c r="AE163" s="29"/>
    </row>
    <row r="164" spans="1:31" ht="20.25" customHeight="1">
      <c r="A164" s="42"/>
      <c r="B164" s="4"/>
      <c r="C164" s="4"/>
      <c r="G164" s="5"/>
      <c r="H164" s="5"/>
      <c r="I164" s="5"/>
      <c r="J164" s="5"/>
      <c r="K164" s="5"/>
      <c r="L164" s="5"/>
      <c r="M164" s="5"/>
      <c r="N164" s="5"/>
      <c r="O164" s="5"/>
      <c r="P164" s="5"/>
      <c r="Q164" s="5"/>
      <c r="R164" s="4"/>
      <c r="S164" s="6"/>
      <c r="T164" s="6"/>
      <c r="U164" s="28"/>
      <c r="V164" s="28"/>
      <c r="W164" s="28"/>
      <c r="X164" s="28"/>
      <c r="Y164" s="33"/>
      <c r="Z164" s="29"/>
      <c r="AA164" s="29"/>
      <c r="AB164" s="29"/>
      <c r="AC164" s="29"/>
      <c r="AD164" s="29"/>
      <c r="AE164" s="29"/>
    </row>
    <row r="165" spans="1:31" ht="20.25" customHeight="1">
      <c r="A165" s="42"/>
      <c r="B165" s="4"/>
      <c r="C165" s="4"/>
      <c r="G165" s="5"/>
      <c r="H165" s="5"/>
      <c r="I165" s="5"/>
      <c r="J165" s="5"/>
      <c r="K165" s="5"/>
      <c r="L165" s="5"/>
      <c r="M165" s="5"/>
      <c r="N165" s="5"/>
      <c r="O165" s="5"/>
      <c r="P165" s="5"/>
      <c r="Q165" s="5"/>
      <c r="R165" s="4"/>
      <c r="S165" s="6"/>
      <c r="T165" s="6"/>
      <c r="U165" s="28"/>
      <c r="V165" s="28"/>
      <c r="W165" s="28"/>
      <c r="X165" s="28"/>
      <c r="Y165" s="33"/>
      <c r="Z165" s="29"/>
      <c r="AA165" s="29"/>
      <c r="AB165" s="29"/>
      <c r="AC165" s="29"/>
      <c r="AD165" s="29"/>
      <c r="AE165" s="29"/>
    </row>
    <row r="166" spans="1:31" ht="20.25" customHeight="1">
      <c r="A166" s="42"/>
      <c r="B166" s="4"/>
      <c r="C166" s="4"/>
      <c r="G166" s="5"/>
      <c r="H166" s="5"/>
      <c r="I166" s="5"/>
      <c r="J166" s="5"/>
      <c r="K166" s="5"/>
      <c r="L166" s="5"/>
      <c r="M166" s="5"/>
      <c r="N166" s="5"/>
      <c r="O166" s="5"/>
      <c r="P166" s="5"/>
      <c r="Q166" s="5"/>
      <c r="R166" s="4"/>
      <c r="S166" s="6"/>
      <c r="T166" s="6"/>
      <c r="U166" s="28"/>
      <c r="V166" s="28"/>
      <c r="W166" s="28"/>
      <c r="X166" s="28"/>
      <c r="Y166" s="33"/>
      <c r="Z166" s="29"/>
      <c r="AA166" s="29"/>
      <c r="AB166" s="29"/>
      <c r="AC166" s="29"/>
      <c r="AD166" s="29"/>
      <c r="AE166" s="29"/>
    </row>
    <row r="167" spans="1:31" ht="20.25" customHeight="1">
      <c r="A167" s="42"/>
      <c r="B167" s="4"/>
      <c r="C167" s="4"/>
      <c r="G167" s="5"/>
      <c r="H167" s="5"/>
      <c r="I167" s="5"/>
      <c r="J167" s="5"/>
      <c r="K167" s="5"/>
      <c r="L167" s="5"/>
      <c r="M167" s="5"/>
      <c r="N167" s="5"/>
      <c r="O167" s="5"/>
      <c r="P167" s="5"/>
      <c r="Q167" s="5"/>
      <c r="R167" s="4"/>
      <c r="S167" s="6"/>
      <c r="T167" s="6"/>
      <c r="U167" s="28"/>
      <c r="V167" s="28"/>
      <c r="W167" s="28"/>
      <c r="X167" s="28"/>
      <c r="Y167" s="33"/>
      <c r="Z167" s="29"/>
      <c r="AA167" s="29"/>
      <c r="AB167" s="29"/>
      <c r="AC167" s="29"/>
      <c r="AD167" s="29"/>
      <c r="AE167" s="29"/>
    </row>
    <row r="168" spans="1:31" ht="20.25" customHeight="1">
      <c r="A168" s="42"/>
      <c r="B168" s="4"/>
      <c r="C168" s="4"/>
      <c r="G168" s="5"/>
      <c r="H168" s="5"/>
      <c r="I168" s="5"/>
      <c r="J168" s="5"/>
      <c r="K168" s="5"/>
      <c r="L168" s="5"/>
      <c r="M168" s="5"/>
      <c r="N168" s="5"/>
      <c r="O168" s="5"/>
      <c r="P168" s="5"/>
      <c r="Q168" s="5"/>
      <c r="R168" s="4"/>
      <c r="S168" s="6"/>
      <c r="T168" s="6"/>
      <c r="U168" s="28"/>
      <c r="V168" s="28"/>
      <c r="W168" s="28"/>
      <c r="X168" s="28"/>
      <c r="Y168" s="33"/>
      <c r="Z168" s="29"/>
      <c r="AA168" s="29"/>
      <c r="AB168" s="29"/>
      <c r="AC168" s="29"/>
      <c r="AD168" s="29"/>
      <c r="AE168" s="29"/>
    </row>
    <row r="169" spans="1:31" ht="20.25" customHeight="1">
      <c r="A169" s="42"/>
      <c r="B169" s="4"/>
      <c r="C169" s="4"/>
      <c r="G169" s="5"/>
      <c r="H169" s="5"/>
      <c r="I169" s="5"/>
      <c r="J169" s="5"/>
      <c r="K169" s="5"/>
      <c r="L169" s="5"/>
      <c r="M169" s="5"/>
      <c r="N169" s="5"/>
      <c r="O169" s="5"/>
      <c r="P169" s="5"/>
      <c r="Q169" s="5"/>
      <c r="R169" s="4"/>
      <c r="S169" s="6"/>
      <c r="T169" s="6"/>
      <c r="U169" s="28"/>
      <c r="V169" s="28"/>
      <c r="W169" s="28"/>
      <c r="X169" s="28"/>
      <c r="Y169" s="33"/>
      <c r="Z169" s="29"/>
      <c r="AA169" s="29"/>
      <c r="AB169" s="29"/>
      <c r="AC169" s="29"/>
      <c r="AD169" s="29"/>
      <c r="AE169" s="29"/>
    </row>
    <row r="170" spans="1:31" ht="20.25" customHeight="1">
      <c r="A170" s="42"/>
      <c r="B170" s="4"/>
      <c r="C170" s="4"/>
      <c r="G170" s="5"/>
      <c r="H170" s="5"/>
      <c r="I170" s="5"/>
      <c r="J170" s="5"/>
      <c r="K170" s="5"/>
      <c r="L170" s="5"/>
      <c r="M170" s="5"/>
      <c r="N170" s="5"/>
      <c r="O170" s="5"/>
      <c r="P170" s="5"/>
      <c r="Q170" s="5"/>
      <c r="R170" s="4"/>
      <c r="S170" s="6"/>
      <c r="T170" s="6"/>
      <c r="U170" s="28"/>
      <c r="V170" s="28"/>
      <c r="W170" s="28"/>
      <c r="X170" s="28"/>
      <c r="Y170" s="33"/>
      <c r="Z170" s="29"/>
      <c r="AA170" s="29"/>
      <c r="AB170" s="29"/>
      <c r="AC170" s="29"/>
      <c r="AD170" s="29"/>
      <c r="AE170" s="29"/>
    </row>
    <row r="171" spans="1:31" ht="20.25" customHeight="1">
      <c r="A171" s="42"/>
      <c r="B171" s="4"/>
      <c r="C171" s="4"/>
      <c r="G171" s="5"/>
      <c r="H171" s="5"/>
      <c r="I171" s="5"/>
      <c r="J171" s="5"/>
      <c r="K171" s="5"/>
      <c r="L171" s="5"/>
      <c r="M171" s="5"/>
      <c r="N171" s="5"/>
      <c r="O171" s="5"/>
      <c r="P171" s="5"/>
      <c r="Q171" s="5"/>
      <c r="R171" s="4"/>
      <c r="S171" s="6"/>
      <c r="T171" s="6"/>
      <c r="U171" s="28"/>
      <c r="V171" s="28"/>
      <c r="W171" s="28"/>
      <c r="X171" s="28"/>
      <c r="Y171" s="33"/>
      <c r="Z171" s="29"/>
      <c r="AA171" s="29"/>
      <c r="AB171" s="29"/>
      <c r="AC171" s="29"/>
      <c r="AD171" s="29"/>
      <c r="AE171" s="29"/>
    </row>
    <row r="172" spans="1:31" ht="20.25" customHeight="1">
      <c r="A172" s="42"/>
      <c r="B172" s="4"/>
      <c r="C172" s="4"/>
      <c r="G172" s="5"/>
      <c r="H172" s="5"/>
      <c r="I172" s="5"/>
      <c r="J172" s="5"/>
      <c r="K172" s="5"/>
      <c r="L172" s="5"/>
      <c r="M172" s="5"/>
      <c r="N172" s="5"/>
      <c r="O172" s="5"/>
      <c r="P172" s="5"/>
      <c r="Q172" s="5"/>
      <c r="R172" s="4"/>
      <c r="S172" s="6"/>
      <c r="T172" s="6"/>
      <c r="U172" s="28"/>
      <c r="V172" s="28"/>
      <c r="W172" s="28"/>
      <c r="X172" s="28"/>
      <c r="Y172" s="33"/>
      <c r="Z172" s="29"/>
      <c r="AA172" s="29"/>
      <c r="AB172" s="29"/>
      <c r="AC172" s="29"/>
      <c r="AD172" s="29"/>
      <c r="AE172" s="29"/>
    </row>
    <row r="173" spans="1:31" ht="20.25" customHeight="1">
      <c r="A173" s="42"/>
      <c r="B173" s="4"/>
      <c r="C173" s="4"/>
      <c r="G173" s="5"/>
      <c r="H173" s="5"/>
      <c r="I173" s="5"/>
      <c r="J173" s="5"/>
      <c r="K173" s="5"/>
      <c r="L173" s="5"/>
      <c r="M173" s="5"/>
      <c r="N173" s="5"/>
      <c r="O173" s="5"/>
      <c r="P173" s="5"/>
      <c r="Q173" s="5"/>
      <c r="R173" s="4"/>
      <c r="S173" s="6"/>
      <c r="T173" s="6"/>
      <c r="U173" s="28"/>
      <c r="V173" s="28"/>
      <c r="W173" s="28"/>
      <c r="X173" s="28"/>
      <c r="Y173" s="33"/>
      <c r="Z173" s="29"/>
      <c r="AA173" s="29"/>
      <c r="AB173" s="29"/>
      <c r="AC173" s="29"/>
      <c r="AD173" s="29"/>
      <c r="AE173" s="29"/>
    </row>
    <row r="174" spans="1:31" ht="20.25" customHeight="1">
      <c r="A174" s="42"/>
      <c r="B174" s="4"/>
      <c r="C174" s="4"/>
      <c r="G174" s="5"/>
      <c r="H174" s="5"/>
      <c r="I174" s="5"/>
      <c r="J174" s="5"/>
      <c r="K174" s="5"/>
      <c r="L174" s="5"/>
      <c r="M174" s="5"/>
      <c r="N174" s="5"/>
      <c r="O174" s="5"/>
      <c r="P174" s="5"/>
      <c r="Q174" s="5"/>
      <c r="R174" s="4"/>
      <c r="S174" s="6"/>
      <c r="T174" s="6"/>
      <c r="U174" s="28"/>
      <c r="V174" s="28"/>
      <c r="W174" s="28"/>
      <c r="X174" s="28"/>
      <c r="Y174" s="33"/>
      <c r="Z174" s="29"/>
      <c r="AA174" s="29"/>
      <c r="AB174" s="29"/>
      <c r="AC174" s="29"/>
      <c r="AD174" s="29"/>
      <c r="AE174" s="29"/>
    </row>
    <row r="175" spans="1:31" ht="20.25" customHeight="1">
      <c r="A175" s="42"/>
      <c r="B175" s="4"/>
      <c r="C175" s="4"/>
      <c r="G175" s="5"/>
      <c r="H175" s="5"/>
      <c r="I175" s="5"/>
      <c r="J175" s="5"/>
      <c r="K175" s="5"/>
      <c r="L175" s="5"/>
      <c r="M175" s="5"/>
      <c r="N175" s="5"/>
      <c r="O175" s="5"/>
      <c r="P175" s="5"/>
      <c r="Q175" s="5"/>
      <c r="R175" s="4"/>
      <c r="S175" s="6"/>
      <c r="T175" s="6"/>
      <c r="U175" s="28"/>
      <c r="V175" s="28"/>
      <c r="W175" s="28"/>
      <c r="X175" s="28"/>
      <c r="Y175" s="33"/>
      <c r="Z175" s="29"/>
      <c r="AA175" s="29"/>
      <c r="AB175" s="29"/>
      <c r="AC175" s="29"/>
      <c r="AD175" s="29"/>
      <c r="AE175" s="29"/>
    </row>
    <row r="176" spans="1:31" ht="20.25" customHeight="1">
      <c r="A176" s="42"/>
      <c r="B176" s="4"/>
      <c r="C176" s="4"/>
      <c r="G176" s="5"/>
      <c r="H176" s="5"/>
      <c r="I176" s="5"/>
      <c r="J176" s="5"/>
      <c r="K176" s="5"/>
      <c r="L176" s="5"/>
      <c r="M176" s="5"/>
      <c r="N176" s="5"/>
      <c r="O176" s="5"/>
      <c r="P176" s="5"/>
      <c r="Q176" s="5"/>
      <c r="R176" s="4"/>
      <c r="S176" s="6"/>
      <c r="T176" s="6"/>
      <c r="U176" s="28"/>
      <c r="V176" s="28"/>
      <c r="W176" s="28"/>
      <c r="X176" s="28"/>
      <c r="Y176" s="33"/>
      <c r="Z176" s="29"/>
      <c r="AA176" s="29"/>
      <c r="AB176" s="29"/>
      <c r="AC176" s="29"/>
      <c r="AD176" s="29"/>
      <c r="AE176" s="29"/>
    </row>
    <row r="177" spans="1:31" ht="20.25" customHeight="1">
      <c r="A177" s="42"/>
      <c r="B177" s="4"/>
      <c r="C177" s="4"/>
      <c r="G177" s="5"/>
      <c r="H177" s="5"/>
      <c r="I177" s="5"/>
      <c r="J177" s="5"/>
      <c r="K177" s="5"/>
      <c r="L177" s="5"/>
      <c r="M177" s="5"/>
      <c r="N177" s="5"/>
      <c r="O177" s="5"/>
      <c r="P177" s="5"/>
      <c r="Q177" s="5"/>
      <c r="R177" s="4"/>
      <c r="S177" s="6"/>
      <c r="T177" s="6"/>
      <c r="U177" s="28"/>
      <c r="V177" s="28"/>
      <c r="W177" s="28"/>
      <c r="X177" s="28"/>
      <c r="Y177" s="33"/>
      <c r="Z177" s="29"/>
      <c r="AA177" s="29"/>
      <c r="AB177" s="29"/>
      <c r="AC177" s="29"/>
      <c r="AD177" s="29"/>
      <c r="AE177" s="29"/>
    </row>
    <row r="178" spans="1:31" ht="20.25" customHeight="1">
      <c r="A178" s="42"/>
      <c r="B178" s="4"/>
      <c r="C178" s="4"/>
      <c r="G178" s="5"/>
      <c r="H178" s="5"/>
      <c r="I178" s="5"/>
      <c r="J178" s="5"/>
      <c r="K178" s="5"/>
      <c r="L178" s="5"/>
      <c r="M178" s="5"/>
      <c r="N178" s="5"/>
      <c r="O178" s="5"/>
      <c r="P178" s="5"/>
      <c r="Q178" s="5"/>
      <c r="R178" s="4"/>
      <c r="S178" s="6"/>
      <c r="T178" s="6"/>
      <c r="U178" s="28"/>
      <c r="V178" s="28"/>
      <c r="W178" s="28"/>
      <c r="X178" s="28"/>
      <c r="Y178" s="33"/>
      <c r="Z178" s="29"/>
      <c r="AA178" s="29"/>
      <c r="AB178" s="29"/>
      <c r="AC178" s="29"/>
      <c r="AD178" s="29"/>
      <c r="AE178" s="29"/>
    </row>
    <row r="179" spans="1:31" ht="20.25" customHeight="1">
      <c r="A179" s="42"/>
      <c r="B179" s="4"/>
      <c r="C179" s="4"/>
      <c r="G179" s="5"/>
      <c r="H179" s="5"/>
      <c r="I179" s="5"/>
      <c r="J179" s="5"/>
      <c r="K179" s="5"/>
      <c r="L179" s="5"/>
      <c r="M179" s="5"/>
      <c r="N179" s="5"/>
      <c r="O179" s="5"/>
      <c r="P179" s="5"/>
      <c r="Q179" s="5"/>
      <c r="R179" s="4"/>
      <c r="S179" s="6"/>
      <c r="T179" s="6"/>
      <c r="U179" s="28"/>
      <c r="V179" s="28"/>
      <c r="W179" s="28"/>
      <c r="X179" s="28"/>
      <c r="Y179" s="33"/>
      <c r="Z179" s="29"/>
      <c r="AA179" s="29"/>
      <c r="AB179" s="29"/>
      <c r="AC179" s="29"/>
      <c r="AD179" s="29"/>
      <c r="AE179" s="29"/>
    </row>
    <row r="180" spans="1:31" ht="20.25" customHeight="1">
      <c r="A180" s="42"/>
      <c r="B180" s="4"/>
      <c r="C180" s="4"/>
      <c r="G180" s="5"/>
      <c r="H180" s="5"/>
      <c r="I180" s="5"/>
      <c r="J180" s="5"/>
      <c r="K180" s="5"/>
      <c r="L180" s="5"/>
      <c r="M180" s="5"/>
      <c r="N180" s="5"/>
      <c r="O180" s="5"/>
      <c r="P180" s="5"/>
      <c r="Q180" s="5"/>
      <c r="R180" s="4"/>
      <c r="S180" s="6"/>
      <c r="T180" s="6"/>
      <c r="U180" s="28"/>
      <c r="V180" s="28"/>
      <c r="W180" s="28"/>
      <c r="X180" s="28"/>
      <c r="Y180" s="33"/>
      <c r="Z180" s="29"/>
      <c r="AA180" s="29"/>
      <c r="AB180" s="29"/>
      <c r="AC180" s="29"/>
      <c r="AD180" s="29"/>
      <c r="AE180" s="29"/>
    </row>
    <row r="181" spans="1:31" ht="20.25" customHeight="1">
      <c r="A181" s="42"/>
      <c r="B181" s="4"/>
      <c r="C181" s="4"/>
      <c r="G181" s="5"/>
      <c r="H181" s="5"/>
      <c r="I181" s="5"/>
      <c r="J181" s="5"/>
      <c r="K181" s="5"/>
      <c r="L181" s="5"/>
      <c r="M181" s="5"/>
      <c r="N181" s="5"/>
      <c r="O181" s="5"/>
      <c r="P181" s="5"/>
      <c r="Q181" s="5"/>
      <c r="R181" s="4"/>
      <c r="S181" s="6"/>
      <c r="T181" s="6"/>
      <c r="U181" s="28"/>
      <c r="V181" s="28"/>
      <c r="W181" s="28"/>
      <c r="X181" s="28"/>
      <c r="Y181" s="33"/>
      <c r="Z181" s="29"/>
      <c r="AA181" s="29"/>
      <c r="AB181" s="29"/>
      <c r="AC181" s="29"/>
      <c r="AD181" s="29"/>
      <c r="AE181" s="29"/>
    </row>
    <row r="182" spans="1:31" ht="20.25" customHeight="1">
      <c r="A182" s="42"/>
      <c r="B182" s="4"/>
      <c r="C182" s="4"/>
      <c r="G182" s="5"/>
      <c r="H182" s="5"/>
      <c r="I182" s="5"/>
      <c r="J182" s="5"/>
      <c r="K182" s="5"/>
      <c r="L182" s="5"/>
      <c r="M182" s="5"/>
      <c r="N182" s="5"/>
      <c r="O182" s="5"/>
      <c r="P182" s="5"/>
      <c r="Q182" s="5"/>
      <c r="R182" s="4"/>
      <c r="S182" s="6"/>
      <c r="T182" s="6"/>
      <c r="U182" s="28"/>
      <c r="V182" s="28"/>
      <c r="W182" s="28"/>
      <c r="X182" s="28"/>
      <c r="Y182" s="33"/>
      <c r="Z182" s="29"/>
      <c r="AA182" s="29"/>
      <c r="AB182" s="29"/>
      <c r="AC182" s="29"/>
      <c r="AD182" s="29"/>
      <c r="AE182" s="29"/>
    </row>
    <row r="183" spans="1:31" ht="20.25" customHeight="1">
      <c r="A183" s="42"/>
      <c r="B183" s="4"/>
      <c r="C183" s="4"/>
      <c r="G183" s="5"/>
      <c r="H183" s="5"/>
      <c r="I183" s="5"/>
      <c r="J183" s="5"/>
      <c r="K183" s="5"/>
      <c r="L183" s="5"/>
      <c r="M183" s="5"/>
      <c r="N183" s="5"/>
      <c r="O183" s="5"/>
      <c r="P183" s="5"/>
      <c r="Q183" s="5"/>
      <c r="R183" s="4"/>
      <c r="S183" s="6"/>
      <c r="T183" s="6"/>
      <c r="U183" s="28"/>
      <c r="V183" s="28"/>
      <c r="W183" s="28"/>
      <c r="X183" s="28"/>
      <c r="Y183" s="33"/>
      <c r="Z183" s="29"/>
      <c r="AA183" s="29"/>
      <c r="AB183" s="29"/>
      <c r="AC183" s="29"/>
      <c r="AD183" s="29"/>
      <c r="AE183" s="29"/>
    </row>
    <row r="184" spans="1:31" ht="20.25" customHeight="1">
      <c r="A184" s="42"/>
      <c r="B184" s="4"/>
      <c r="C184" s="4"/>
      <c r="G184" s="5"/>
      <c r="H184" s="5"/>
      <c r="I184" s="5"/>
      <c r="J184" s="5"/>
      <c r="K184" s="5"/>
      <c r="L184" s="5"/>
      <c r="M184" s="5"/>
      <c r="N184" s="5"/>
      <c r="O184" s="5"/>
      <c r="P184" s="5"/>
      <c r="Q184" s="5"/>
      <c r="R184" s="4"/>
      <c r="S184" s="6"/>
      <c r="T184" s="6"/>
      <c r="U184" s="28"/>
      <c r="V184" s="28"/>
      <c r="W184" s="28"/>
      <c r="X184" s="28"/>
      <c r="Y184" s="33"/>
      <c r="Z184" s="29"/>
      <c r="AA184" s="29"/>
      <c r="AB184" s="29"/>
      <c r="AC184" s="29"/>
      <c r="AD184" s="29"/>
      <c r="AE184" s="29"/>
    </row>
    <row r="185" spans="1:31" ht="20.25" customHeight="1">
      <c r="A185" s="42"/>
      <c r="B185" s="4"/>
      <c r="C185" s="4"/>
      <c r="G185" s="5"/>
      <c r="H185" s="5"/>
      <c r="I185" s="5"/>
      <c r="J185" s="5"/>
      <c r="K185" s="5"/>
      <c r="L185" s="5"/>
      <c r="M185" s="5"/>
      <c r="N185" s="5"/>
      <c r="O185" s="5"/>
      <c r="P185" s="5"/>
      <c r="Q185" s="5"/>
      <c r="R185" s="4"/>
      <c r="S185" s="6"/>
      <c r="T185" s="6"/>
      <c r="U185" s="28"/>
      <c r="V185" s="28"/>
      <c r="W185" s="28"/>
      <c r="X185" s="28"/>
      <c r="Y185" s="33"/>
      <c r="Z185" s="29"/>
      <c r="AA185" s="29"/>
      <c r="AB185" s="29"/>
      <c r="AC185" s="29"/>
      <c r="AD185" s="29"/>
      <c r="AE185" s="29"/>
    </row>
    <row r="186" spans="1:31" ht="20.25" customHeight="1">
      <c r="A186" s="42"/>
      <c r="B186" s="4"/>
      <c r="C186" s="4"/>
      <c r="G186" s="5"/>
      <c r="H186" s="5"/>
      <c r="I186" s="5"/>
      <c r="J186" s="5"/>
      <c r="K186" s="5"/>
      <c r="L186" s="5"/>
      <c r="M186" s="5"/>
      <c r="N186" s="5"/>
      <c r="O186" s="5"/>
      <c r="P186" s="5"/>
      <c r="Q186" s="5"/>
      <c r="R186" s="4"/>
      <c r="S186" s="6"/>
      <c r="T186" s="6"/>
      <c r="U186" s="28"/>
      <c r="V186" s="28"/>
      <c r="W186" s="28"/>
      <c r="X186" s="28"/>
      <c r="Y186" s="33"/>
      <c r="Z186" s="29"/>
      <c r="AA186" s="29"/>
      <c r="AB186" s="29"/>
      <c r="AC186" s="29"/>
      <c r="AD186" s="29"/>
      <c r="AE186" s="29"/>
    </row>
    <row r="187" spans="1:31" ht="20.25" customHeight="1">
      <c r="A187" s="42"/>
      <c r="B187" s="4"/>
      <c r="C187" s="4"/>
      <c r="G187" s="5"/>
      <c r="H187" s="5"/>
      <c r="I187" s="5"/>
      <c r="J187" s="5"/>
      <c r="K187" s="5"/>
      <c r="L187" s="5"/>
      <c r="M187" s="5"/>
      <c r="N187" s="5"/>
      <c r="O187" s="5"/>
      <c r="P187" s="5"/>
      <c r="Q187" s="5"/>
      <c r="R187" s="4"/>
      <c r="S187" s="6"/>
      <c r="T187" s="6"/>
      <c r="U187" s="28"/>
      <c r="V187" s="28"/>
      <c r="W187" s="28"/>
      <c r="X187" s="28"/>
      <c r="Y187" s="33"/>
      <c r="Z187" s="29"/>
      <c r="AA187" s="29"/>
      <c r="AB187" s="29"/>
      <c r="AC187" s="29"/>
      <c r="AD187" s="29"/>
      <c r="AE187" s="29"/>
    </row>
    <row r="188" spans="1:31" ht="20.25" customHeight="1">
      <c r="A188" s="42"/>
      <c r="B188" s="4"/>
      <c r="C188" s="4"/>
      <c r="G188" s="5"/>
      <c r="H188" s="5"/>
      <c r="I188" s="5"/>
      <c r="J188" s="5"/>
      <c r="K188" s="5"/>
      <c r="L188" s="5"/>
      <c r="M188" s="5"/>
      <c r="N188" s="5"/>
      <c r="O188" s="5"/>
      <c r="P188" s="5"/>
      <c r="Q188" s="5"/>
      <c r="R188" s="4"/>
      <c r="S188" s="6"/>
      <c r="T188" s="6"/>
      <c r="U188" s="28"/>
      <c r="V188" s="28"/>
      <c r="W188" s="28"/>
      <c r="X188" s="28"/>
      <c r="Y188" s="33"/>
      <c r="Z188" s="29"/>
      <c r="AA188" s="29"/>
      <c r="AB188" s="29"/>
      <c r="AC188" s="29"/>
      <c r="AD188" s="29"/>
      <c r="AE188" s="29"/>
    </row>
    <row r="189" spans="1:31" ht="20.25" customHeight="1">
      <c r="A189" s="42"/>
      <c r="B189" s="4"/>
      <c r="C189" s="4"/>
      <c r="G189" s="5"/>
      <c r="H189" s="5"/>
      <c r="I189" s="5"/>
      <c r="J189" s="5"/>
      <c r="K189" s="5"/>
      <c r="L189" s="5"/>
      <c r="M189" s="5"/>
      <c r="N189" s="5"/>
      <c r="O189" s="5"/>
      <c r="P189" s="5"/>
      <c r="Q189" s="5"/>
      <c r="R189" s="4"/>
      <c r="S189" s="6"/>
      <c r="T189" s="6"/>
      <c r="U189" s="28"/>
      <c r="V189" s="28"/>
      <c r="W189" s="28"/>
      <c r="X189" s="28"/>
      <c r="Y189" s="33"/>
      <c r="Z189" s="29"/>
      <c r="AA189" s="29"/>
      <c r="AB189" s="29"/>
      <c r="AC189" s="29"/>
      <c r="AD189" s="29"/>
      <c r="AE189" s="29"/>
    </row>
    <row r="190" spans="1:31" ht="20.25" customHeight="1">
      <c r="A190" s="42"/>
      <c r="B190" s="4"/>
      <c r="C190" s="4"/>
      <c r="G190" s="5"/>
      <c r="H190" s="5"/>
      <c r="I190" s="5"/>
      <c r="J190" s="5"/>
      <c r="K190" s="5"/>
      <c r="L190" s="5"/>
      <c r="M190" s="5"/>
      <c r="N190" s="5"/>
      <c r="O190" s="5"/>
      <c r="P190" s="5"/>
      <c r="Q190" s="5"/>
      <c r="R190" s="4"/>
      <c r="S190" s="6"/>
      <c r="T190" s="6"/>
      <c r="U190" s="28"/>
      <c r="V190" s="28"/>
      <c r="W190" s="28"/>
      <c r="X190" s="28"/>
      <c r="Y190" s="33"/>
      <c r="Z190" s="29"/>
      <c r="AA190" s="29"/>
      <c r="AB190" s="29"/>
      <c r="AC190" s="29"/>
      <c r="AD190" s="29"/>
      <c r="AE190" s="29"/>
    </row>
    <row r="191" spans="1:31" ht="20.25" customHeight="1">
      <c r="A191" s="42"/>
      <c r="B191" s="4"/>
      <c r="C191" s="4"/>
      <c r="G191" s="5"/>
      <c r="H191" s="5"/>
      <c r="I191" s="5"/>
      <c r="J191" s="5"/>
      <c r="K191" s="5"/>
      <c r="L191" s="5"/>
      <c r="M191" s="5"/>
      <c r="N191" s="5"/>
      <c r="O191" s="5"/>
      <c r="P191" s="5"/>
      <c r="Q191" s="5"/>
      <c r="R191" s="4"/>
      <c r="S191" s="6"/>
      <c r="T191" s="6"/>
      <c r="U191" s="28"/>
      <c r="V191" s="28"/>
      <c r="W191" s="28"/>
      <c r="X191" s="28"/>
      <c r="Y191" s="33"/>
      <c r="Z191" s="29"/>
      <c r="AA191" s="29"/>
      <c r="AB191" s="29"/>
      <c r="AC191" s="29"/>
      <c r="AD191" s="29"/>
      <c r="AE191" s="29"/>
    </row>
    <row r="192" spans="1:31" ht="20.25" customHeight="1">
      <c r="A192" s="42"/>
      <c r="B192" s="4"/>
      <c r="C192" s="4"/>
      <c r="G192" s="5"/>
      <c r="H192" s="5"/>
      <c r="I192" s="5"/>
      <c r="J192" s="5"/>
      <c r="K192" s="5"/>
      <c r="L192" s="5"/>
      <c r="M192" s="5"/>
      <c r="N192" s="5"/>
      <c r="O192" s="5"/>
      <c r="P192" s="5"/>
      <c r="Q192" s="5"/>
      <c r="R192" s="4"/>
      <c r="S192" s="6"/>
      <c r="T192" s="6"/>
      <c r="U192" s="28"/>
      <c r="V192" s="28"/>
      <c r="W192" s="28"/>
      <c r="X192" s="28"/>
      <c r="Y192" s="33"/>
      <c r="Z192" s="29"/>
      <c r="AA192" s="29"/>
      <c r="AB192" s="29"/>
      <c r="AC192" s="29"/>
      <c r="AD192" s="29"/>
      <c r="AE192" s="29"/>
    </row>
    <row r="193" spans="1:31" ht="20.25" customHeight="1">
      <c r="A193" s="42">
        <f>ROW(B193)-3</f>
        <v>190</v>
      </c>
      <c r="B193" s="4"/>
      <c r="C193" s="4"/>
      <c r="G193" s="5"/>
      <c r="H193" s="5"/>
      <c r="I193" s="5"/>
      <c r="J193" s="5"/>
      <c r="K193" s="5"/>
      <c r="L193" s="5"/>
      <c r="M193" s="5"/>
      <c r="N193" s="5"/>
      <c r="O193" s="5"/>
      <c r="P193" s="5"/>
      <c r="Q193" s="5"/>
      <c r="R193" s="4"/>
      <c r="S193" s="6"/>
      <c r="T193" s="6"/>
      <c r="U193" s="28"/>
      <c r="V193" s="28"/>
      <c r="W193" s="28"/>
      <c r="X193" s="28"/>
      <c r="Y193" s="33"/>
      <c r="Z193" s="29"/>
      <c r="AA193" s="29"/>
      <c r="AB193" s="29"/>
      <c r="AC193" s="29"/>
      <c r="AD193" s="29"/>
      <c r="AE193" s="29"/>
    </row>
    <row r="194" spans="1:31" ht="20.25" customHeight="1">
      <c r="A194" s="42">
        <f>ROW(B194)-3</f>
        <v>191</v>
      </c>
      <c r="B194" s="4"/>
      <c r="C194" s="4"/>
      <c r="G194" s="5"/>
      <c r="H194" s="5"/>
      <c r="I194" s="5"/>
      <c r="J194" s="5"/>
      <c r="K194" s="5"/>
      <c r="L194" s="5"/>
      <c r="M194" s="5"/>
      <c r="N194" s="5"/>
      <c r="O194" s="5"/>
      <c r="P194" s="5"/>
      <c r="Q194" s="5"/>
      <c r="R194" s="4"/>
      <c r="S194" s="6"/>
      <c r="T194" s="6"/>
      <c r="U194" s="28"/>
      <c r="V194" s="28"/>
      <c r="W194" s="28"/>
      <c r="X194" s="28"/>
      <c r="Y194" s="33"/>
      <c r="Z194" s="29"/>
      <c r="AA194" s="29"/>
      <c r="AB194" s="29"/>
      <c r="AC194" s="29"/>
      <c r="AD194" s="29"/>
      <c r="AE194" s="29"/>
    </row>
    <row r="195" spans="1:31" ht="20.25" customHeight="1">
      <c r="A195" s="42">
        <f>ROW(B195)-3</f>
        <v>192</v>
      </c>
      <c r="B195" s="4"/>
      <c r="C195" s="4"/>
      <c r="G195" s="5"/>
      <c r="H195" s="5"/>
      <c r="I195" s="5"/>
      <c r="J195" s="5"/>
      <c r="K195" s="5"/>
      <c r="L195" s="5"/>
      <c r="M195" s="5"/>
      <c r="N195" s="5"/>
      <c r="O195" s="5"/>
      <c r="P195" s="5"/>
      <c r="Q195" s="5"/>
      <c r="R195" s="4"/>
      <c r="S195" s="6"/>
      <c r="T195" s="6"/>
      <c r="U195" s="28"/>
      <c r="V195" s="28"/>
      <c r="W195" s="28"/>
      <c r="X195" s="28"/>
      <c r="Y195" s="33"/>
      <c r="Z195" s="29"/>
      <c r="AA195" s="29"/>
      <c r="AB195" s="29"/>
      <c r="AC195" s="29"/>
      <c r="AD195" s="29"/>
      <c r="AE195" s="29"/>
    </row>
    <row r="196" spans="1:31" ht="20.25" customHeight="1">
      <c r="A196" s="42">
        <f>ROW(B196)-3</f>
        <v>193</v>
      </c>
      <c r="B196" s="4"/>
      <c r="C196" s="4"/>
      <c r="G196" s="5"/>
      <c r="H196" s="5"/>
      <c r="I196" s="5"/>
      <c r="J196" s="5"/>
      <c r="K196" s="5"/>
      <c r="L196" s="5"/>
      <c r="M196" s="5"/>
      <c r="N196" s="5"/>
      <c r="O196" s="5"/>
      <c r="P196" s="5"/>
      <c r="Q196" s="5"/>
      <c r="R196" s="4"/>
      <c r="S196" s="6"/>
      <c r="T196" s="6"/>
      <c r="U196" s="28"/>
      <c r="V196" s="28"/>
      <c r="W196" s="28"/>
      <c r="X196" s="28"/>
      <c r="Y196" s="33"/>
      <c r="Z196" s="29"/>
      <c r="AA196" s="29"/>
      <c r="AB196" s="29"/>
      <c r="AC196" s="29"/>
      <c r="AD196" s="29"/>
      <c r="AE196" s="29"/>
    </row>
  </sheetData>
  <sheetProtection selectLockedCells="1"/>
  <sortState xmlns:xlrd2="http://schemas.microsoft.com/office/spreadsheetml/2017/richdata2" ref="A4:BA125">
    <sortCondition ref="U4:U125"/>
    <sortCondition ref="Z4:Z125"/>
  </sortState>
  <mergeCells count="3">
    <mergeCell ref="A1:B1"/>
    <mergeCell ref="AI2:AK2"/>
    <mergeCell ref="AN2:AQ2"/>
  </mergeCells>
  <phoneticPr fontId="17" type="noConversion"/>
  <pageMargins left="0.19685039370078741" right="0.19685039370078741" top="0.78740157480314965" bottom="0.78740157480314965" header="0.31496062992125984" footer="0.31496062992125984"/>
  <pageSetup paperSize="9" scale="56"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PruefeNamen">
              <controlPr locked="0" defaultSize="0" print="0" autoFill="0" autoPict="0" macro="[0]!UngueltigeNamenRot">
                <anchor>
                  <from>
                    <xdr:col>29</xdr:col>
                    <xdr:colOff>3810</xdr:colOff>
                    <xdr:row>0</xdr:row>
                    <xdr:rowOff>49530</xdr:rowOff>
                  </from>
                  <to>
                    <xdr:col>31</xdr:col>
                    <xdr:colOff>1028700</xdr:colOff>
                    <xdr:row>0</xdr:row>
                    <xdr:rowOff>575310</xdr:rowOff>
                  </to>
                </anchor>
              </controlPr>
            </control>
          </mc:Choice>
        </mc:AlternateContent>
        <mc:AlternateContent xmlns:mc="http://schemas.openxmlformats.org/markup-compatibility/2006">
          <mc:Choice Requires="x14">
            <control shapeId="3074" r:id="rId5" name="Button 2">
              <controlPr defaultSize="0" print="0" autoFill="0" autoPict="0" macro="[0]!AnalyseUndKonflikteNeu">
                <anchor moveWithCells="1" sizeWithCells="1">
                  <from>
                    <xdr:col>6</xdr:col>
                    <xdr:colOff>361950</xdr:colOff>
                    <xdr:row>0</xdr:row>
                    <xdr:rowOff>49530</xdr:rowOff>
                  </from>
                  <to>
                    <xdr:col>10</xdr:col>
                    <xdr:colOff>114300</xdr:colOff>
                    <xdr:row>0</xdr:row>
                    <xdr:rowOff>590550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7"/>
  <dimension ref="A1:D22"/>
  <sheetViews>
    <sheetView topLeftCell="A4" workbookViewId="0">
      <selection activeCell="C20" sqref="C20"/>
    </sheetView>
  </sheetViews>
  <sheetFormatPr baseColWidth="10" defaultRowHeight="14.4"/>
  <cols>
    <col min="1" max="1" width="34.15625" customWidth="1"/>
  </cols>
  <sheetData>
    <row r="1" spans="1:2">
      <c r="A1" t="s">
        <v>156</v>
      </c>
      <c r="B1">
        <v>100</v>
      </c>
    </row>
    <row r="2" spans="1:2">
      <c r="A2" t="s">
        <v>157</v>
      </c>
      <c r="B2">
        <v>10</v>
      </c>
    </row>
    <row r="3" spans="1:2">
      <c r="A3" t="s">
        <v>176</v>
      </c>
      <c r="B3">
        <v>5</v>
      </c>
    </row>
    <row r="4" spans="1:2" ht="30.6">
      <c r="A4" s="17" t="s">
        <v>165</v>
      </c>
    </row>
    <row r="6" spans="1:2">
      <c r="A6" s="18" t="s">
        <v>159</v>
      </c>
      <c r="B6" s="18" t="s">
        <v>160</v>
      </c>
    </row>
    <row r="7" spans="1:2">
      <c r="A7" s="19" t="s">
        <v>161</v>
      </c>
      <c r="B7" s="20">
        <v>200</v>
      </c>
    </row>
    <row r="8" spans="1:2">
      <c r="A8" s="19" t="s">
        <v>162</v>
      </c>
      <c r="B8" s="20">
        <v>150</v>
      </c>
    </row>
    <row r="9" spans="1:2">
      <c r="A9" s="19" t="s">
        <v>163</v>
      </c>
      <c r="B9" s="20">
        <v>200</v>
      </c>
    </row>
    <row r="10" spans="1:2">
      <c r="A10" s="19" t="s">
        <v>6</v>
      </c>
      <c r="B10" s="20">
        <v>20</v>
      </c>
    </row>
    <row r="11" spans="1:2">
      <c r="A11" s="19" t="s">
        <v>13</v>
      </c>
      <c r="B11" s="20">
        <v>20</v>
      </c>
    </row>
    <row r="12" spans="1:2">
      <c r="A12" s="19" t="s">
        <v>147</v>
      </c>
      <c r="B12" s="20">
        <v>100</v>
      </c>
    </row>
    <row r="13" spans="1:2">
      <c r="A13" s="19" t="s">
        <v>164</v>
      </c>
      <c r="B13" s="20">
        <v>50</v>
      </c>
    </row>
    <row r="14" spans="1:2">
      <c r="A14" s="19" t="s">
        <v>167</v>
      </c>
      <c r="B14" s="20">
        <v>0</v>
      </c>
    </row>
    <row r="18" spans="1:4">
      <c r="A18" t="s">
        <v>169</v>
      </c>
      <c r="B18">
        <v>4</v>
      </c>
      <c r="D18" t="s">
        <v>421</v>
      </c>
    </row>
    <row r="20" spans="1:4">
      <c r="A20" t="s">
        <v>174</v>
      </c>
      <c r="B20">
        <v>3</v>
      </c>
      <c r="D20" t="s">
        <v>175</v>
      </c>
    </row>
    <row r="22" spans="1:4" ht="26.25" customHeight="1">
      <c r="A22" s="64" t="s">
        <v>769</v>
      </c>
      <c r="B22">
        <v>2</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8" r:id="rId4" name="StartOptimierung">
              <controlPr locked="0" defaultSize="0" print="0" autoFill="0" autoPict="0" macro="[0]!Klassen_Optimierer">
                <anchor>
                  <from>
                    <xdr:col>2</xdr:col>
                    <xdr:colOff>514350</xdr:colOff>
                    <xdr:row>0</xdr:row>
                    <xdr:rowOff>171450</xdr:rowOff>
                  </from>
                  <to>
                    <xdr:col>6</xdr:col>
                    <xdr:colOff>11430</xdr:colOff>
                    <xdr:row>3</xdr:row>
                    <xdr:rowOff>114300</xdr:rowOff>
                  </to>
                </anchor>
              </controlPr>
            </control>
          </mc:Choice>
        </mc:AlternateContent>
        <mc:AlternateContent xmlns:mc="http://schemas.openxmlformats.org/markup-compatibility/2006">
          <mc:Choice Requires="x14">
            <control shapeId="2059" r:id="rId5" name="PruefeNamen">
              <controlPr locked="0" defaultSize="0" print="0" autoFill="0" autoPict="0" macro="[0]!UngueltigeNamenRot">
                <anchor>
                  <from>
                    <xdr:col>2</xdr:col>
                    <xdr:colOff>468630</xdr:colOff>
                    <xdr:row>4</xdr:row>
                    <xdr:rowOff>49530</xdr:rowOff>
                  </from>
                  <to>
                    <xdr:col>5</xdr:col>
                    <xdr:colOff>723900</xdr:colOff>
                    <xdr:row>6</xdr:row>
                    <xdr:rowOff>182880</xdr:rowOff>
                  </to>
                </anchor>
              </controlPr>
            </control>
          </mc:Choice>
        </mc:AlternateContent>
        <mc:AlternateContent xmlns:mc="http://schemas.openxmlformats.org/markup-compatibility/2006">
          <mc:Choice Requires="x14">
            <control shapeId="2060" r:id="rId6" name="FixiereCluster">
              <controlPr locked="0" defaultSize="0" print="0" autoFill="0" autoPict="0" macro="[0]!FixiereGroessteCluster">
                <anchor>
                  <from>
                    <xdr:col>2</xdr:col>
                    <xdr:colOff>457200</xdr:colOff>
                    <xdr:row>8</xdr:row>
                    <xdr:rowOff>87630</xdr:rowOff>
                  </from>
                  <to>
                    <xdr:col>5</xdr:col>
                    <xdr:colOff>716280</xdr:colOff>
                    <xdr:row>11</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dimension ref="A1:K25"/>
  <sheetViews>
    <sheetView topLeftCell="A7" workbookViewId="0">
      <selection activeCell="N8" sqref="N8"/>
    </sheetView>
  </sheetViews>
  <sheetFormatPr baseColWidth="10" defaultRowHeight="14.4"/>
  <cols>
    <col min="1" max="1" width="6.20703125" bestFit="1" customWidth="1"/>
    <col min="2" max="2" width="5.47265625" bestFit="1" customWidth="1"/>
    <col min="3" max="3" width="5.62890625" bestFit="1" customWidth="1"/>
    <col min="4" max="5" width="2.68359375" bestFit="1" customWidth="1"/>
    <col min="6" max="6" width="2.62890625" bestFit="1" customWidth="1"/>
    <col min="7" max="7" width="5.47265625" bestFit="1" customWidth="1"/>
    <col min="8" max="8" width="3.41796875" bestFit="1" customWidth="1"/>
    <col min="9" max="9" width="11.578125" bestFit="1" customWidth="1"/>
    <col min="10" max="10" width="7.62890625" bestFit="1" customWidth="1"/>
    <col min="11" max="11" width="15.20703125" bestFit="1" customWidth="1"/>
  </cols>
  <sheetData>
    <row r="1" spans="1:11">
      <c r="A1" t="s">
        <v>145</v>
      </c>
      <c r="B1" t="s">
        <v>97</v>
      </c>
      <c r="C1" t="s">
        <v>146</v>
      </c>
      <c r="D1" t="s">
        <v>3</v>
      </c>
      <c r="E1" t="s">
        <v>4</v>
      </c>
      <c r="F1" t="s">
        <v>6</v>
      </c>
      <c r="G1" t="s">
        <v>13</v>
      </c>
      <c r="H1" t="s">
        <v>147</v>
      </c>
      <c r="I1" t="s">
        <v>158</v>
      </c>
      <c r="J1" t="s">
        <v>149</v>
      </c>
      <c r="K1" t="s">
        <v>168</v>
      </c>
    </row>
    <row r="2" spans="1:11">
      <c r="A2" t="s">
        <v>136</v>
      </c>
      <c r="B2" t="s">
        <v>141</v>
      </c>
      <c r="C2">
        <v>31</v>
      </c>
      <c r="D2">
        <v>17</v>
      </c>
      <c r="E2">
        <v>14</v>
      </c>
      <c r="F2">
        <v>2</v>
      </c>
      <c r="G2">
        <v>10</v>
      </c>
      <c r="H2">
        <v>2</v>
      </c>
      <c r="I2">
        <v>3</v>
      </c>
      <c r="J2">
        <v>0</v>
      </c>
      <c r="K2">
        <v>7</v>
      </c>
    </row>
    <row r="3" spans="1:11">
      <c r="A3" t="s">
        <v>136</v>
      </c>
      <c r="B3" t="s">
        <v>144</v>
      </c>
      <c r="C3">
        <v>30</v>
      </c>
      <c r="D3">
        <v>15</v>
      </c>
      <c r="E3">
        <v>15</v>
      </c>
      <c r="F3">
        <v>4</v>
      </c>
      <c r="G3">
        <v>7</v>
      </c>
      <c r="H3">
        <v>1</v>
      </c>
      <c r="K3">
        <v>6</v>
      </c>
    </row>
    <row r="4" spans="1:11">
      <c r="A4" t="s">
        <v>136</v>
      </c>
      <c r="B4" t="s">
        <v>142</v>
      </c>
      <c r="C4">
        <v>31</v>
      </c>
      <c r="D4">
        <v>18</v>
      </c>
      <c r="E4">
        <v>13</v>
      </c>
      <c r="F4">
        <v>0</v>
      </c>
      <c r="G4">
        <v>8</v>
      </c>
      <c r="H4">
        <v>1</v>
      </c>
      <c r="K4">
        <v>7</v>
      </c>
    </row>
    <row r="5" spans="1:11">
      <c r="A5" t="s">
        <v>136</v>
      </c>
      <c r="B5" t="s">
        <v>143</v>
      </c>
      <c r="C5">
        <v>30</v>
      </c>
      <c r="D5">
        <v>16</v>
      </c>
      <c r="E5">
        <v>14</v>
      </c>
      <c r="F5">
        <v>2</v>
      </c>
      <c r="G5">
        <v>8</v>
      </c>
      <c r="H5">
        <v>3</v>
      </c>
      <c r="K5">
        <v>7</v>
      </c>
    </row>
    <row r="7" spans="1:11">
      <c r="A7" t="s">
        <v>137</v>
      </c>
      <c r="B7" t="s">
        <v>141</v>
      </c>
      <c r="C7">
        <v>30</v>
      </c>
      <c r="D7">
        <v>18</v>
      </c>
      <c r="E7">
        <v>12</v>
      </c>
      <c r="F7">
        <v>3</v>
      </c>
      <c r="G7">
        <v>11</v>
      </c>
      <c r="H7">
        <v>3</v>
      </c>
      <c r="I7">
        <v>2</v>
      </c>
      <c r="J7">
        <v>0</v>
      </c>
      <c r="K7">
        <v>7</v>
      </c>
    </row>
    <row r="8" spans="1:11">
      <c r="A8" t="s">
        <v>137</v>
      </c>
      <c r="B8" t="s">
        <v>144</v>
      </c>
      <c r="C8">
        <v>31</v>
      </c>
      <c r="D8">
        <v>16</v>
      </c>
      <c r="E8">
        <v>15</v>
      </c>
      <c r="F8">
        <v>2</v>
      </c>
      <c r="G8">
        <v>9</v>
      </c>
      <c r="H8">
        <v>1</v>
      </c>
      <c r="K8">
        <v>7</v>
      </c>
    </row>
    <row r="9" spans="1:11">
      <c r="A9" t="s">
        <v>137</v>
      </c>
      <c r="B9" t="s">
        <v>142</v>
      </c>
      <c r="C9">
        <v>32</v>
      </c>
      <c r="D9">
        <v>16</v>
      </c>
      <c r="E9">
        <v>16</v>
      </c>
      <c r="F9">
        <v>2</v>
      </c>
      <c r="G9">
        <v>8</v>
      </c>
      <c r="H9">
        <v>1</v>
      </c>
      <c r="K9">
        <v>7</v>
      </c>
    </row>
    <row r="10" spans="1:11">
      <c r="A10" t="s">
        <v>137</v>
      </c>
      <c r="B10" t="s">
        <v>143</v>
      </c>
      <c r="C10">
        <v>29</v>
      </c>
      <c r="D10">
        <v>16</v>
      </c>
      <c r="E10">
        <v>13</v>
      </c>
      <c r="F10">
        <v>1</v>
      </c>
      <c r="G10">
        <v>5</v>
      </c>
      <c r="H10">
        <v>2</v>
      </c>
      <c r="K10">
        <v>7</v>
      </c>
    </row>
    <row r="12" spans="1:11">
      <c r="A12" t="s">
        <v>138</v>
      </c>
      <c r="B12" t="s">
        <v>141</v>
      </c>
      <c r="C12">
        <v>31</v>
      </c>
      <c r="D12">
        <v>16</v>
      </c>
      <c r="E12">
        <v>15</v>
      </c>
      <c r="F12">
        <v>2</v>
      </c>
      <c r="G12">
        <v>8</v>
      </c>
      <c r="H12">
        <v>2</v>
      </c>
      <c r="I12">
        <v>2</v>
      </c>
      <c r="J12">
        <v>0</v>
      </c>
      <c r="K12">
        <v>7</v>
      </c>
    </row>
    <row r="13" spans="1:11">
      <c r="A13" t="s">
        <v>138</v>
      </c>
      <c r="B13" t="s">
        <v>144</v>
      </c>
      <c r="C13">
        <v>28</v>
      </c>
      <c r="D13">
        <v>15</v>
      </c>
      <c r="E13">
        <v>13</v>
      </c>
      <c r="F13">
        <v>2</v>
      </c>
      <c r="G13">
        <v>6</v>
      </c>
      <c r="H13">
        <v>1</v>
      </c>
      <c r="K13">
        <v>6</v>
      </c>
    </row>
    <row r="14" spans="1:11">
      <c r="A14" t="s">
        <v>138</v>
      </c>
      <c r="B14" t="s">
        <v>142</v>
      </c>
      <c r="C14">
        <v>32</v>
      </c>
      <c r="D14">
        <v>18</v>
      </c>
      <c r="E14">
        <v>14</v>
      </c>
      <c r="F14">
        <v>2</v>
      </c>
      <c r="G14">
        <v>7</v>
      </c>
      <c r="H14">
        <v>2</v>
      </c>
      <c r="K14">
        <v>7</v>
      </c>
    </row>
    <row r="15" spans="1:11">
      <c r="A15" t="s">
        <v>138</v>
      </c>
      <c r="B15" t="s">
        <v>143</v>
      </c>
      <c r="C15">
        <v>31</v>
      </c>
      <c r="D15">
        <v>17</v>
      </c>
      <c r="E15">
        <v>14</v>
      </c>
      <c r="F15">
        <v>2</v>
      </c>
      <c r="G15">
        <v>12</v>
      </c>
      <c r="H15">
        <v>2</v>
      </c>
      <c r="K15">
        <v>7</v>
      </c>
    </row>
    <row r="17" spans="1:11">
      <c r="A17" t="s">
        <v>139</v>
      </c>
      <c r="B17" t="s">
        <v>141</v>
      </c>
      <c r="C17">
        <v>31</v>
      </c>
      <c r="D17">
        <v>16</v>
      </c>
      <c r="E17">
        <v>15</v>
      </c>
      <c r="F17">
        <v>3</v>
      </c>
      <c r="G17">
        <v>9</v>
      </c>
      <c r="H17">
        <v>2</v>
      </c>
      <c r="I17">
        <v>3</v>
      </c>
      <c r="J17">
        <v>0</v>
      </c>
      <c r="K17">
        <v>7</v>
      </c>
    </row>
    <row r="18" spans="1:11">
      <c r="A18" t="s">
        <v>139</v>
      </c>
      <c r="B18" t="s">
        <v>144</v>
      </c>
      <c r="C18">
        <v>29</v>
      </c>
      <c r="D18">
        <v>16</v>
      </c>
      <c r="E18">
        <v>13</v>
      </c>
      <c r="F18">
        <v>2</v>
      </c>
      <c r="G18">
        <v>7</v>
      </c>
      <c r="H18">
        <v>1</v>
      </c>
      <c r="K18">
        <v>6</v>
      </c>
    </row>
    <row r="19" spans="1:11">
      <c r="A19" t="s">
        <v>139</v>
      </c>
      <c r="B19" t="s">
        <v>142</v>
      </c>
      <c r="C19">
        <v>32</v>
      </c>
      <c r="D19">
        <v>16</v>
      </c>
      <c r="E19">
        <v>16</v>
      </c>
      <c r="F19">
        <v>2</v>
      </c>
      <c r="G19">
        <v>6</v>
      </c>
      <c r="H19">
        <v>2</v>
      </c>
      <c r="K19">
        <v>7</v>
      </c>
    </row>
    <row r="20" spans="1:11">
      <c r="A20" t="s">
        <v>139</v>
      </c>
      <c r="B20" t="s">
        <v>143</v>
      </c>
      <c r="C20">
        <v>30</v>
      </c>
      <c r="D20">
        <v>18</v>
      </c>
      <c r="E20">
        <v>12</v>
      </c>
      <c r="F20">
        <v>1</v>
      </c>
      <c r="G20">
        <v>11</v>
      </c>
      <c r="H20">
        <v>2</v>
      </c>
      <c r="K20">
        <v>7</v>
      </c>
    </row>
    <row r="22" spans="1:11">
      <c r="A22" t="s">
        <v>140</v>
      </c>
      <c r="B22" t="s">
        <v>141</v>
      </c>
      <c r="C22">
        <v>31</v>
      </c>
      <c r="D22">
        <v>16</v>
      </c>
      <c r="E22">
        <v>15</v>
      </c>
      <c r="F22">
        <v>2</v>
      </c>
      <c r="G22">
        <v>7</v>
      </c>
      <c r="H22">
        <v>1</v>
      </c>
      <c r="I22">
        <v>3</v>
      </c>
      <c r="J22">
        <v>0</v>
      </c>
      <c r="K22">
        <v>7</v>
      </c>
    </row>
    <row r="23" spans="1:11">
      <c r="A23" t="s">
        <v>140</v>
      </c>
      <c r="B23" t="s">
        <v>144</v>
      </c>
      <c r="C23">
        <v>29</v>
      </c>
      <c r="D23">
        <v>17</v>
      </c>
      <c r="E23">
        <v>12</v>
      </c>
      <c r="F23">
        <v>2</v>
      </c>
      <c r="G23">
        <v>7</v>
      </c>
      <c r="H23">
        <v>1</v>
      </c>
      <c r="K23">
        <v>6</v>
      </c>
    </row>
    <row r="24" spans="1:11">
      <c r="A24" t="s">
        <v>140</v>
      </c>
      <c r="B24" t="s">
        <v>142</v>
      </c>
      <c r="C24">
        <v>31</v>
      </c>
      <c r="D24">
        <v>16</v>
      </c>
      <c r="E24">
        <v>15</v>
      </c>
      <c r="F24">
        <v>2</v>
      </c>
      <c r="G24">
        <v>8</v>
      </c>
      <c r="H24">
        <v>2</v>
      </c>
      <c r="K24">
        <v>7</v>
      </c>
    </row>
    <row r="25" spans="1:11">
      <c r="A25" t="s">
        <v>140</v>
      </c>
      <c r="B25" t="s">
        <v>143</v>
      </c>
      <c r="C25">
        <v>31</v>
      </c>
      <c r="D25">
        <v>17</v>
      </c>
      <c r="E25">
        <v>14</v>
      </c>
      <c r="F25">
        <v>2</v>
      </c>
      <c r="G25">
        <v>11</v>
      </c>
      <c r="H25">
        <v>3</v>
      </c>
      <c r="K25">
        <v>7</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nalyseUndKonflikteNeu">
                <anchor moveWithCells="1" sizeWithCells="1">
                  <from>
                    <xdr:col>13</xdr:col>
                    <xdr:colOff>87630</xdr:colOff>
                    <xdr:row>1</xdr:row>
                    <xdr:rowOff>49530</xdr:rowOff>
                  </from>
                  <to>
                    <xdr:col>14</xdr:col>
                    <xdr:colOff>754380</xdr:colOff>
                    <xdr:row>4</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6"/>
  <dimension ref="A1:E1"/>
  <sheetViews>
    <sheetView workbookViewId="0">
      <selection activeCell="K19" sqref="K19"/>
    </sheetView>
  </sheetViews>
  <sheetFormatPr baseColWidth="10" defaultRowHeight="14.4"/>
  <cols>
    <col min="1" max="1" width="6.20703125" bestFit="1" customWidth="1"/>
    <col min="2" max="2" width="5.734375" bestFit="1" customWidth="1"/>
    <col min="3" max="3" width="6.83984375" bestFit="1" customWidth="1"/>
    <col min="4" max="4" width="5.734375" bestFit="1" customWidth="1"/>
    <col min="5" max="5" width="6.83984375" bestFit="1" customWidth="1"/>
  </cols>
  <sheetData>
    <row r="1" spans="1:5">
      <c r="A1" t="s">
        <v>145</v>
      </c>
      <c r="B1" t="s">
        <v>152</v>
      </c>
      <c r="C1" t="s">
        <v>153</v>
      </c>
      <c r="D1" t="s">
        <v>154</v>
      </c>
      <c r="E1" t="s">
        <v>155</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A1:D18"/>
  <sheetViews>
    <sheetView workbookViewId="0">
      <selection activeCell="B17" sqref="B17"/>
    </sheetView>
  </sheetViews>
  <sheetFormatPr baseColWidth="10" defaultRowHeight="14.4"/>
  <cols>
    <col min="1" max="1" width="6.20703125" bestFit="1" customWidth="1"/>
    <col min="2" max="2" width="10.15625" bestFit="1" customWidth="1"/>
    <col min="3" max="3" width="19.20703125" bestFit="1" customWidth="1"/>
    <col min="4" max="4" width="38.7890625" bestFit="1" customWidth="1"/>
    <col min="6" max="6" width="32" bestFit="1" customWidth="1"/>
  </cols>
  <sheetData>
    <row r="1" spans="1:4">
      <c r="A1" t="s">
        <v>145</v>
      </c>
      <c r="B1" t="s">
        <v>150</v>
      </c>
      <c r="C1" t="s">
        <v>1</v>
      </c>
      <c r="D1" t="s">
        <v>151</v>
      </c>
    </row>
    <row r="2" spans="1:4">
      <c r="A2" t="s">
        <v>136</v>
      </c>
      <c r="B2">
        <v>92</v>
      </c>
      <c r="C2" t="s">
        <v>772</v>
      </c>
      <c r="D2" t="s">
        <v>773</v>
      </c>
    </row>
    <row r="3" spans="1:4">
      <c r="A3" t="s">
        <v>136</v>
      </c>
      <c r="B3">
        <v>103</v>
      </c>
      <c r="C3" t="s">
        <v>620</v>
      </c>
      <c r="D3" t="s">
        <v>621</v>
      </c>
    </row>
    <row r="4" spans="1:4">
      <c r="A4" t="s">
        <v>136</v>
      </c>
      <c r="B4">
        <v>104</v>
      </c>
      <c r="C4" t="s">
        <v>622</v>
      </c>
      <c r="D4" t="s">
        <v>623</v>
      </c>
    </row>
    <row r="6" spans="1:4">
      <c r="A6" t="s">
        <v>137</v>
      </c>
      <c r="B6">
        <v>103</v>
      </c>
      <c r="C6" t="s">
        <v>620</v>
      </c>
      <c r="D6" t="s">
        <v>621</v>
      </c>
    </row>
    <row r="7" spans="1:4">
      <c r="A7" t="s">
        <v>137</v>
      </c>
      <c r="B7">
        <v>104</v>
      </c>
      <c r="C7" t="s">
        <v>622</v>
      </c>
      <c r="D7" t="s">
        <v>623</v>
      </c>
    </row>
    <row r="9" spans="1:4">
      <c r="A9" t="s">
        <v>138</v>
      </c>
      <c r="B9">
        <v>103</v>
      </c>
      <c r="C9" t="s">
        <v>620</v>
      </c>
      <c r="D9" t="s">
        <v>621</v>
      </c>
    </row>
    <row r="10" spans="1:4">
      <c r="A10" t="s">
        <v>138</v>
      </c>
      <c r="B10">
        <v>104</v>
      </c>
      <c r="C10" t="s">
        <v>622</v>
      </c>
      <c r="D10" t="s">
        <v>623</v>
      </c>
    </row>
    <row r="12" spans="1:4">
      <c r="A12" t="s">
        <v>139</v>
      </c>
      <c r="B12">
        <v>21</v>
      </c>
      <c r="C12" t="s">
        <v>770</v>
      </c>
      <c r="D12" t="s">
        <v>771</v>
      </c>
    </row>
    <row r="13" spans="1:4">
      <c r="A13" t="s">
        <v>139</v>
      </c>
      <c r="B13">
        <v>103</v>
      </c>
      <c r="C13" t="s">
        <v>620</v>
      </c>
      <c r="D13" t="s">
        <v>621</v>
      </c>
    </row>
    <row r="14" spans="1:4">
      <c r="A14" t="s">
        <v>139</v>
      </c>
      <c r="B14">
        <v>104</v>
      </c>
      <c r="C14" t="s">
        <v>622</v>
      </c>
      <c r="D14" t="s">
        <v>623</v>
      </c>
    </row>
    <row r="16" spans="1:4">
      <c r="A16" t="s">
        <v>140</v>
      </c>
      <c r="B16">
        <v>21</v>
      </c>
      <c r="C16" t="s">
        <v>770</v>
      </c>
      <c r="D16" t="s">
        <v>771</v>
      </c>
    </row>
    <row r="17" spans="1:4">
      <c r="A17" t="s">
        <v>140</v>
      </c>
      <c r="B17">
        <v>103</v>
      </c>
      <c r="C17" t="s">
        <v>620</v>
      </c>
      <c r="D17" t="s">
        <v>621</v>
      </c>
    </row>
    <row r="18" spans="1:4">
      <c r="A18" t="s">
        <v>140</v>
      </c>
      <c r="B18">
        <v>104</v>
      </c>
      <c r="C18" t="s">
        <v>622</v>
      </c>
      <c r="D18" t="s">
        <v>623</v>
      </c>
    </row>
  </sheetData>
  <sortState xmlns:xlrd2="http://schemas.microsoft.com/office/spreadsheetml/2017/richdata2" ref="F2:F58">
    <sortCondition ref="F2:F58"/>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064D3D-F6D3-4D11-9679-F20235AC9E0F}">
  <sheetPr codeName="Tabelle9"/>
  <dimension ref="A1:C22"/>
  <sheetViews>
    <sheetView tabSelected="1" workbookViewId="0">
      <selection activeCell="C20" sqref="C20"/>
    </sheetView>
  </sheetViews>
  <sheetFormatPr baseColWidth="10" defaultRowHeight="14.4"/>
  <cols>
    <col min="1" max="1" width="6.15625" bestFit="1" customWidth="1"/>
    <col min="2" max="2" width="5.62890625" bestFit="1" customWidth="1"/>
    <col min="3" max="3" width="255.578125" bestFit="1" customWidth="1"/>
  </cols>
  <sheetData>
    <row r="1" spans="1:3">
      <c r="A1" t="s">
        <v>170</v>
      </c>
      <c r="B1" t="s">
        <v>146</v>
      </c>
      <c r="C1" t="s">
        <v>171</v>
      </c>
    </row>
    <row r="2" spans="1:3">
      <c r="A2">
        <v>7</v>
      </c>
      <c r="B2">
        <v>16</v>
      </c>
      <c r="C2" t="s">
        <v>599</v>
      </c>
    </row>
    <row r="3" spans="1:3">
      <c r="A3">
        <v>2</v>
      </c>
      <c r="B3">
        <v>6</v>
      </c>
      <c r="C3" t="s">
        <v>600</v>
      </c>
    </row>
    <row r="4" spans="1:3">
      <c r="A4">
        <v>3</v>
      </c>
      <c r="B4">
        <v>6</v>
      </c>
      <c r="C4" t="s">
        <v>601</v>
      </c>
    </row>
    <row r="5" spans="1:3">
      <c r="A5">
        <v>4</v>
      </c>
      <c r="B5">
        <v>6</v>
      </c>
      <c r="C5" t="s">
        <v>602</v>
      </c>
    </row>
    <row r="6" spans="1:3">
      <c r="A6">
        <v>5</v>
      </c>
      <c r="B6">
        <v>6</v>
      </c>
      <c r="C6" t="s">
        <v>603</v>
      </c>
    </row>
    <row r="7" spans="1:3">
      <c r="A7">
        <v>6</v>
      </c>
      <c r="B7">
        <v>6</v>
      </c>
      <c r="C7" t="s">
        <v>604</v>
      </c>
    </row>
    <row r="8" spans="1:3">
      <c r="A8">
        <v>1</v>
      </c>
      <c r="B8">
        <v>6</v>
      </c>
      <c r="C8" t="s">
        <v>605</v>
      </c>
    </row>
    <row r="9" spans="1:3">
      <c r="A9">
        <v>8</v>
      </c>
      <c r="B9">
        <v>5</v>
      </c>
      <c r="C9" t="s">
        <v>606</v>
      </c>
    </row>
    <row r="10" spans="1:3">
      <c r="A10">
        <v>9</v>
      </c>
      <c r="B10">
        <v>5</v>
      </c>
      <c r="C10" t="s">
        <v>607</v>
      </c>
    </row>
    <row r="11" spans="1:3">
      <c r="A11">
        <v>10</v>
      </c>
      <c r="B11">
        <v>5</v>
      </c>
      <c r="C11" t="s">
        <v>608</v>
      </c>
    </row>
    <row r="12" spans="1:3">
      <c r="A12">
        <v>11</v>
      </c>
      <c r="B12">
        <v>5</v>
      </c>
      <c r="C12" t="s">
        <v>609</v>
      </c>
    </row>
    <row r="13" spans="1:3">
      <c r="A13">
        <v>12</v>
      </c>
      <c r="B13">
        <v>5</v>
      </c>
      <c r="C13" t="s">
        <v>610</v>
      </c>
    </row>
    <row r="14" spans="1:3">
      <c r="A14">
        <v>13</v>
      </c>
      <c r="B14">
        <v>5</v>
      </c>
      <c r="C14" t="s">
        <v>611</v>
      </c>
    </row>
    <row r="15" spans="1:3">
      <c r="A15">
        <v>14</v>
      </c>
      <c r="B15">
        <v>5</v>
      </c>
      <c r="C15" t="s">
        <v>612</v>
      </c>
    </row>
    <row r="16" spans="1:3">
      <c r="A16">
        <v>15</v>
      </c>
      <c r="B16">
        <v>5</v>
      </c>
      <c r="C16" t="s">
        <v>613</v>
      </c>
    </row>
    <row r="17" spans="1:3">
      <c r="A17">
        <v>16</v>
      </c>
      <c r="B17">
        <v>5</v>
      </c>
      <c r="C17" t="s">
        <v>614</v>
      </c>
    </row>
    <row r="18" spans="1:3">
      <c r="A18">
        <v>17</v>
      </c>
      <c r="B18">
        <v>5</v>
      </c>
      <c r="C18" t="s">
        <v>615</v>
      </c>
    </row>
    <row r="19" spans="1:3">
      <c r="A19">
        <v>18</v>
      </c>
      <c r="B19">
        <v>5</v>
      </c>
      <c r="C19" t="s">
        <v>616</v>
      </c>
    </row>
    <row r="20" spans="1:3">
      <c r="A20">
        <v>19</v>
      </c>
      <c r="B20">
        <v>5</v>
      </c>
      <c r="C20" t="s">
        <v>617</v>
      </c>
    </row>
    <row r="21" spans="1:3">
      <c r="A21">
        <v>20</v>
      </c>
      <c r="B21">
        <v>5</v>
      </c>
      <c r="C21" t="s">
        <v>618</v>
      </c>
    </row>
    <row r="22" spans="1:3">
      <c r="A22">
        <v>21</v>
      </c>
      <c r="B22">
        <v>5</v>
      </c>
      <c r="C22" t="s">
        <v>619</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alle</vt:lpstr>
      <vt:lpstr>Suchtiefe</vt:lpstr>
      <vt:lpstr>Analyse</vt:lpstr>
      <vt:lpstr>Konflikte</vt:lpstr>
      <vt:lpstr>Wunschfehler</vt:lpstr>
      <vt:lpstr>MinMaxCluster_V2</vt:lpstr>
      <vt:lpstr>alle!Drucktitel</vt:lpstr>
    </vt:vector>
  </TitlesOfParts>
  <Company>Stadt Baesweiler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Birgit Van den Berghen</dc:creator>
  <cp:lastModifiedBy>Ansgar Lerner</cp:lastModifiedBy>
  <cp:lastPrinted>2026-03-09T08:19:47Z</cp:lastPrinted>
  <dcterms:created xsi:type="dcterms:W3CDTF">2017-02-09T14:37:57Z</dcterms:created>
  <dcterms:modified xsi:type="dcterms:W3CDTF">2026-05-11T09:11:59Z</dcterms:modified>
</cp:coreProperties>
</file>